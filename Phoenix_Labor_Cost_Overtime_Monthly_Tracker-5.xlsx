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Labor_Data_Entry" sheetId="2" state="visible" r:id="rId4"/>
    <sheet name="Dashboard" sheetId="3" state="visible" r:id="rId5"/>
    <sheet name="12_Month_Trend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Example row from sample payslip. Replace with real data or send PDFs to me for population.</t>
        </r>
      </text>
    </comment>
  </commentList>
</comments>
</file>

<file path=xl/sharedStrings.xml><?xml version="1.0" encoding="utf-8"?>
<sst xmlns="http://schemas.openxmlformats.org/spreadsheetml/2006/main" count="583" uniqueCount="246">
  <si>
    <t xml:space="preserve">PHOENIX PRECAST / PHOENIX CONSTRUCTION BV</t>
  </si>
  <si>
    <t xml:space="preserve">MONTHLY LABOR COST &amp; OVERTIME CONTROL TRACKER</t>
  </si>
  <si>
    <t xml:space="preserve">Cross-Border Operations: Sint Maarten (Dutch side) &amp; Saint Martin (French side) | Precast Factory + Erection | Grok Accountant Assistant | July 2026 | Confidential - Management Use Only</t>
  </si>
  <si>
    <t xml:space="preserve">HOW TO USE - EASY MONTHLY PROCESS</t>
  </si>
  <si>
    <t xml:space="preserve">1. At month-end, collect ALL payslips from both entities (French Saint Martin CDI/mutuelle payslips + Dutch Sint Maarten payslips).</t>
  </si>
  <si>
    <t xml:space="preserve">2. EASIEST OPTION (recommended): Send me the PDF payslips (or a zip/folder) via email or upload here. I extract employee name, entity, regular hours, OT hours (25%/50% or equivalent), gross pay, employer social charges (if shown on bulletin de paie), and populate the Labor_Data_Entry sheet accurately. This respects French detailed cotisations and Dutch formats.</t>
  </si>
  <si>
    <t xml:space="preserve">3. SELF-SERVICE OPTION: Open Labor_Data_Entry sheet and enter data manually from each payslip. Use dropdowns for Entity and Department. Yellow cells are inputs.</t>
  </si>
  <si>
    <t xml:space="preserve">4. On the Dashboard sheet: Update the YELLOW 'Report Month' cell (e.g. 2026-07). Enter your monthly Turnover figure (from QuickBooks, in EUR or local + rate). Update XCG to EUR exchange rate if needed (current peg ~1 XCG ≈ 0.56 EUR; confirm with your bank).</t>
  </si>
  <si>
    <t xml:space="preserve">5. Review KPIs instantly: Total employer labor cost, total OT hours worked, OT as % of hours, Labor Cost as % of Turnover, breakdown by French vs Dutch entity, and employee-level OT detail. Compare to prior months and your targets.</t>
  </si>
  <si>
    <t xml:space="preserve">6. I will also provide a short narrative analysis each month (trends, red flags on excessive OT, margin impact, hiring vs OT recommendation, compliance notes). Archive payslips + this report together for your records (audit trail for labor inspections, tax, or disputes).</t>
  </si>
  <si>
    <t xml:space="preserve">WHY THIS MATTERS FOR YOUR BUSINESS (Precast + Erection Expansion)</t>
  </si>
  <si>
    <t xml:space="preserve">• True cost visibility: French side employer charges often add 40-50%+ on gross (URSSAF/CGSS, retraite, chômage, mutuelle, prévoyance, etc.). Dutch side lower but still material. This tracker shows full employer cost, not just net or gross.</t>
  </si>
  <si>
    <t xml:space="preserve">• OT control: Overtime premiums erode margins fast and increase fatigue/safety risk with heavy precast, gantry cranes, and erection work. Track hours monthly to compare with turnover and production output. Recurring high OT signals need for more staff or better planning.</t>
  </si>
  <si>
    <t xml:space="preserve">• Cross-border &amp; compliance edge: Proper hour registration and cost allocation protects you in labor court cases, URSSAF/CGSS inspections, or SMADE-related matters. Your time clock is excellent evidence; this centralizes it.</t>
  </si>
  <si>
    <t xml:space="preserve">• Supports your goals: Scaling to $3M revenue profitably, separate erection company economics, tender pricing accuracy (labor is major variable cost), and clean numbers for Phoenix Private Fund / ASTARA PFF reporting and partner buyout transparency.</t>
  </si>
  <si>
    <t xml:space="preserve">FRENCH SAINT MARTIN (Your French Entity - CDI, Mutuelle, etc.) - KEY POINTS</t>
  </si>
  <si>
    <t xml:space="preserve">• Bulletin de paie shows heures normales, heures supplémentaires (often split 25% / 50% majoration per Code du travail or convention collective BTP). Employer must pay majorations and record precisely.</t>
  </si>
  <si>
    <t xml:space="preserve">• Cotisations patronales: Verify total coût employeur. Common: Maladie ~12-13%, Retraite, Chômage, Formation professionnelle, Mutuelle (obligatory above threshold), Prévoyance. Total patronal often ~40-45%+ of gross depending on size and risks.</t>
  </si>
  <si>
    <t xml:space="preserve">• OT rules: Majoration légale 25% (first 8h/week OT typically), 50% beyond. Also repos compensateur (or majoration). Exceeding limits (10h/day, 48h/week avg, etc.) without proper process risks inspection du travail or employee claims (Conseil de prud'hommes equivalent locally). Your time clock + this tracker = strong defense.</t>
  </si>
  <si>
    <t xml:space="preserve">• Practical 'holes' / optimization: Well-drafted CDI with clear horaire, possible annualisation du temps de travail if agreed, careful use of CDD for peaks (but conversion risk after 2 renewals or 18 months), proper mutuelle and disciplinary procedures. For erection peaks, document everything.</t>
  </si>
  <si>
    <t xml:space="preserve">DUTCH SINT MAARTEN (Your Dutch BV) - KEY POINTS</t>
  </si>
  <si>
    <t xml:space="preserve">• Governed by Sint Maarten Civil Code (Book 7 employment) and Labor Ordinance. OT usually &gt; normal workweek (often 40h or contract hours), premium commonly 150% or as per employment contract / any CAO.</t>
  </si>
  <si>
    <t xml:space="preserve">• Social charges / premiums: Generally lower burden than French side (SZV or relevant schemes for sickness, pension, etc.). Exact % depends on sector and salary level. Payslips show withholdings and employer portions.</t>
  </si>
  <si>
    <t xml:space="preserve">• Cross-border employees: If staff work on both sides (e.g. erection crews), ensure social security affiliation is correct in the competent jurisdiction and intercompany charging is documented (your Qonto/WIB/Wise setup is good practice). Missteps can cause double contributions or gaps.</t>
  </si>
  <si>
    <t xml:space="preserve">• Court/dispute experience: Accurate payslips + hour records win cases on OT claims, termination, or classification. Your centralized tracker + archived source documents is exactly what protects the company.</t>
  </si>
  <si>
    <t xml:space="preserve">CURRENCY, EXCHANGE &amp; QUICKBOOKS INTEGRATION</t>
  </si>
  <si>
    <t xml:space="preserve">• French payslips: EUR (€). Dutch payslips: XCG (Netherlands Antillean Guilder, pegged ~1.79 XCG = 1 USD). Dashboard lets you consolidate everything into EUR for group view (useful for NL reporting, PFF, or your personal finance).</t>
  </si>
  <si>
    <t xml:space="preserve">• Update the exchange rate cell on Dashboard monthly (or use your bank's rate). I can also pull consistent rate if you prefer.</t>
  </si>
  <si>
    <t xml:space="preserve">Q4 2025 DUTCH SIDE DATA LOADED (October-December 2025 - Phoenix Construction BV Sint Maarten staff payslips)</t>
  </si>
  <si>
    <t xml:space="preserve">• 4 staff members processed: Steven Bryan, Steve Donovan Gordon, Calvin Groeneveldt, Paul Anthony Harrison (all listed as 'Staff' / Admin &amp; Support).</t>
  </si>
  <si>
    <t xml:space="preserve">• OT tracked at 150% premium (common Sint Maarten rate) + Saturday work hours included in OT column for visibility.</t>
  </si>
  <si>
    <t xml:space="preserve">• Employer Charges = sum of Addition lines (SZV Sickness ~8.3%, AOV/AWW ~7.5%, SZV Accident 3%, AVBZ 0.5%) — these represent the employer social contribution cost.</t>
  </si>
  <si>
    <t xml:space="preserve">• Gross = Work hours pay + OT/Saturday premium pay + Holiday/Vacation payouts + allowances (garbage collection, gas, seniority where applicable).</t>
  </si>
  <si>
    <t xml:space="preserve">• Total Employer Cost ≈ Gross + Employer Charges (matches the payslip 'Earnings' totals closely).</t>
  </si>
  <si>
    <t xml:space="preserve">• Currency: XCG (Netherlands Antillean Guilder). Exchange rate on Dashboard (currently ~0.56) converts to EUR for consolidated view.</t>
  </si>
  <si>
    <t xml:space="preserve">• Next: Send French Saint Martin payslips (or more Dutch/factory/erection slips) and your QuickBooks monthly turnover figures for Oct-Dec 2025 to complete the % of revenue KPIs and full trends.</t>
  </si>
  <si>
    <t xml:space="preserve">Q4 2025 FRENCH SIDE DATA LOADED (October-December 2025 - Phoenix Prefab Saint Martin production staff bulletins de paie)</t>
  </si>
  <si>
    <t xml:space="preserve">• 7 production/polyvalent employees processed: Morris Fernando Ovando, Delaney Francis Theodore, Cesar Kenny, Pochette Elie, Richemon Jeytro, Gumbs Chrisphin, Sobalvarro Garcia Profirio Alberto.</t>
  </si>
  <si>
    <t xml:space="preserve">• French specifics handled: Heures payées (regular base), Heures supplémentaires exonérées 25%/50%/complémentaires (OT hours), Total brut (Gross), TOTAL VERSE EMPLOYEUR (full employer cost including all patronal cotisations).</t>
  </si>
  <si>
    <t xml:space="preserve">• Many December slips show significant unpaid absences (Abs 20/12 au 31/12 or similar) – reflected in reduced hours/pay. Primes and OT (especially 25%) noted where present.</t>
  </si>
  <si>
    <t xml:space="preserve">• CCN: Ouvriers des industries de carrières et de matériaux. Exonérations and specific cotisations (santé, retraite, famille, chômage, AT/MP, etc.) captured in employer charges.</t>
  </si>
  <si>
    <t xml:space="preserve">• Currency EUR. TOTAL VERSE EMPLOYEUR used as primary Total Cost reference (very useful on French bulletins).</t>
  </si>
  <si>
    <t xml:space="preserve">• Now you have full Q4 visibility: Dutch admin/staff (XCG) + French production (EUR). Compare OT, cost per hour, total employer burden side-by-side. Send turnover figures to activate % of revenue KPIs.</t>
  </si>
  <si>
    <t xml:space="preserve">ENHANCEMENTS (July 2026 update):</t>
  </si>
  <si>
    <t xml:space="preserve">• Departments updated per your list (Beam/Stairs production, Slab/Wall production, Rebar, Crane operator, Support, Placement). All factory production with specific sub-dept for overviews.</t>
  </si>
  <si>
    <t xml:space="preserve">• Currency consolidation in USD: Enter/update rates on Dashboard (XCG peg ~0.558 USD; EUR monthly rate). New column N shows Total Cost in USD. Summary KPIs in USD on Dashboard.</t>
  </si>
  <si>
    <t xml:space="preserve">• Average Hourly Labor Cost: Calculated on Dashboard for selected month (Total Employer Cost USD / Total Hours). Key metric for efficiency tracking.</t>
  </si>
  <si>
    <t xml:space="preserve">• Charts: Pie for French vs Dutch split. More visuals (bar/line for trends, by dept) available in Excel or on request. Filter by Department column for sub-overviews.</t>
  </si>
  <si>
    <t xml:space="preserve">• New employees noted in list for future payslips. Managers flagged (do not include in production hours). Vaughn Kitz Vital flagged separate from precast.</t>
  </si>
  <si>
    <t xml:space="preserve">• Send next payslips (any month) + turnover figures. Tracker will grow with full history and department-level insights.</t>
  </si>
  <si>
    <t xml:space="preserve">LABOR DATA ENTRY - Source: Payslips (French bulletins de paie &amp; Dutch payslips) | Add new rows each month | Yellow = Input | Green = Formula</t>
  </si>
  <si>
    <t xml:space="preserve">Month (YYYY-MM)</t>
  </si>
  <si>
    <t xml:space="preserve">Employee Name</t>
  </si>
  <si>
    <t xml:space="preserve">Entity</t>
  </si>
  <si>
    <t xml:space="preserve">Department</t>
  </si>
  <si>
    <t xml:space="preserve">Regular Hours</t>
  </si>
  <si>
    <t xml:space="preserve">OT Hours @25%</t>
  </si>
  <si>
    <t xml:space="preserve">OT Hours @50%</t>
  </si>
  <si>
    <t xml:space="preserve">Gross Pay (Local)</t>
  </si>
  <si>
    <t xml:space="preserve">Employer Charges (Local)</t>
  </si>
  <si>
    <t xml:space="preserve">Total Cost (Local)</t>
  </si>
  <si>
    <t xml:space="preserve">Currency</t>
  </si>
  <si>
    <t xml:space="preserve">Total Cost (EUR)</t>
  </si>
  <si>
    <t xml:space="preserve">Notes / Project</t>
  </si>
  <si>
    <t xml:space="preserve">Total Cost (USD)</t>
  </si>
  <si>
    <t xml:space="preserve">Production_Only (Yes/No)</t>
  </si>
  <si>
    <t xml:space="preserve">2025-10</t>
  </si>
  <si>
    <t xml:space="preserve">Steven Bryan</t>
  </si>
  <si>
    <t xml:space="preserve">Dutch - Sint Maarten</t>
  </si>
  <si>
    <t xml:space="preserve">Support</t>
  </si>
  <si>
    <t xml:space="preserve">XCG</t>
  </si>
  <si>
    <t xml:space="preserve">Q4 2025 Dutch staff - Oct payslip; OT incl. 150% + Saturday premium</t>
  </si>
  <si>
    <t xml:space="preserve">Yes</t>
  </si>
  <si>
    <t xml:space="preserve">Steve Donovan Gordon</t>
  </si>
  <si>
    <t xml:space="preserve">Slab/Wall production</t>
  </si>
  <si>
    <t xml:space="preserve">Q4 2025 Dutch staff - Oct; high OT ~17% of hours + allowances (garbage/gas)</t>
  </si>
  <si>
    <t xml:space="preserve">Calvin Groeneveldt</t>
  </si>
  <si>
    <t xml:space="preserve">Q4 2025 Dutch staff - Oct; OT incl. Saturday work</t>
  </si>
  <si>
    <t xml:space="preserve">Paul Anthony Harrison</t>
  </si>
  <si>
    <t xml:space="preserve">Beam/Stairs Rebar</t>
  </si>
  <si>
    <t xml:space="preserve">Q4 2025 Dutch staff - Oct; hourly 27.00 + seniority; no AOV addition listed this month</t>
  </si>
  <si>
    <t xml:space="preserve">2025-11</t>
  </si>
  <si>
    <t xml:space="preserve">Q4 2025 Dutch staff - Nov; advance payment deducted; Saturday work included in OT hrs</t>
  </si>
  <si>
    <t xml:space="preserve">Q4 2025 Dutch staff - Nov; loan repayment + advance; high OT</t>
  </si>
  <si>
    <t xml:space="preserve">Q4 2025 Dutch staff - Nov; advance payment; OT mainly 150%</t>
  </si>
  <si>
    <t xml:space="preserve">Q4 2025 Dutch staff - Nov; advance + loan elements; consistent OT</t>
  </si>
  <si>
    <t xml:space="preserve">2025-12</t>
  </si>
  <si>
    <t xml:space="preserve">Q4 2025 Dutch staff - Dec; vacation payout + holiday; lower regular hours this month; low OT</t>
  </si>
  <si>
    <t xml:space="preserve">Q4 2025 Dutch staff - Dec; vacation payout + holiday + garbage/gas; moderate OT</t>
  </si>
  <si>
    <t xml:space="preserve">Q4 2025 Dutch staff - Dec; vacation payout + holiday; moderate OT</t>
  </si>
  <si>
    <t xml:space="preserve">Q4 2025 Dutch staff - Dec; vacation payout + holiday; OT present</t>
  </si>
  <si>
    <t xml:space="preserve">Morris Fernando Ovando</t>
  </si>
  <si>
    <t xml:space="preserve">French - Saint Martin</t>
  </si>
  <si>
    <t xml:space="preserve">Slab/Wall Rebar</t>
  </si>
  <si>
    <t xml:space="preserve">EUR</t>
  </si>
  <si>
    <t xml:space="preserve">Oct 2025 French production; absences non rémunérées 65.94h; prime 40.62; TOTAL VERSE EMPLOYEUR 1,465.10</t>
  </si>
  <si>
    <t xml:space="preserve">Delaney Francis Theodore</t>
  </si>
  <si>
    <t xml:space="preserve">Beam/Stairs production</t>
  </si>
  <si>
    <t xml:space="preserve">Oct 2025 French production; prime 593.62; high brut; TOTAL VERSE 2,971.72</t>
  </si>
  <si>
    <t xml:space="preserve">Cesar Kenny</t>
  </si>
  <si>
    <t xml:space="preserve">Crane operator</t>
  </si>
  <si>
    <t xml:space="preserve">Oct 2025 French production; prime 606.13; TOTAL VERSE EMPLOYEUR 3,054.22</t>
  </si>
  <si>
    <t xml:space="preserve">Pochette Elie</t>
  </si>
  <si>
    <t xml:space="preserve">Oct 2025 French production; absences 18.15h; prime 173; TOTAL VERSE 2,210.09</t>
  </si>
  <si>
    <t xml:space="preserve">Richemon Jeytro</t>
  </si>
  <si>
    <t xml:space="preserve">Oct 2025 French production; HS exonérées 25% 5.43h; absences 11.62h; TOTAL VERSE 2,205.73</t>
  </si>
  <si>
    <t xml:space="preserve">Gumbs Chrisphin</t>
  </si>
  <si>
    <t xml:space="preserve">Oct 2025 French production; HS exonérées 25% 13.50h; absences 27.75h; TOTAL VERSE 2,081.01</t>
  </si>
  <si>
    <t xml:space="preserve">Sobalvarro Garcia Profirio Alberto</t>
  </si>
  <si>
    <t xml:space="preserve">Oct 2025 French production; high hours + HS 25% 38.25h + complémentaires 50% 28.75h; TOTAL VERSE 4,162.62</t>
  </si>
  <si>
    <t xml:space="preserve">Nov 2025 French production; absences 56h; TOTAL VERSE EMPLOYEUR 1,735.57</t>
  </si>
  <si>
    <t xml:space="preserve">Nov 2025 French production; absences 28h; prime 11.13; TOTAL VERSE 1,859.71</t>
  </si>
  <si>
    <t xml:space="preserve">Nov 2025 French production; HS 25% 5.93h; absences 21h; TOTAL VERSE 2,073.06</t>
  </si>
  <si>
    <t xml:space="preserve">Nov 2025 French production; no OT noted this month; TOTAL VERSE 2,638.20</t>
  </si>
  <si>
    <t xml:space="preserve">Nov 2025 French production; high prime 1,239.56; TOTAL VERSE 4,446.99</t>
  </si>
  <si>
    <t xml:space="preserve">Nov 2025 French production; high prime 1,226.85; TOTAL VERSE 4,704.48</t>
  </si>
  <si>
    <t xml:space="preserve">Nov 2025 French production; HS 25% 17.50h; TOTAL VERSE 3,276.64</t>
  </si>
  <si>
    <t xml:space="preserve">Dec 2025 French production; absences 55.15h + Abs 23/12-31/12; prime 53.62; TOTAL VERSE 1,662.16</t>
  </si>
  <si>
    <t xml:space="preserve">Dec 2025 French production; absences 55.15h + Abs 23/12-31/12; prime 406.80; TOTAL VERSE 2,388.02</t>
  </si>
  <si>
    <t xml:space="preserve">Dec 2025 French production; absences 55.15h + Abs 20/12-31/12; TOTAL VERSE 2,227.71</t>
  </si>
  <si>
    <t xml:space="preserve">Dec 2025 French production; absences 55.15h + Abs 20/12-31/12; prime 295.51; TOTAL VERSE 1,814.68</t>
  </si>
  <si>
    <t xml:space="preserve">Dec 2025 French production; absences 55.15h + Abs 22/12-31/12; TOTAL VERSE 1,456.51</t>
  </si>
  <si>
    <t xml:space="preserve">Dec 2025 French production; absences 55.15h + Abs 20/12-31/12; HS 25% 10h; TOTAL VERSE 1,779.91</t>
  </si>
  <si>
    <t xml:space="preserve">Dec 2025 French production; absences 55.15h + Abs 20/12-31/12; TOTAL VERSE 1,681.58</t>
  </si>
  <si>
    <t xml:space="preserve">2026-01</t>
  </si>
  <si>
    <t xml:space="preserve">End of contract 05/01/2026 - Indemnité précarité 2,095.35 (no hours). Cost included in avg rate as requested. Flag for visibility.</t>
  </si>
  <si>
    <t xml:space="preserve">Jan 2026 French production; OT 25% 23.53h + 50% 15h; high brut.</t>
  </si>
  <si>
    <t xml:space="preserve">Jan 2026 French production; OT 25% 22.75h + 50% 10.25h.</t>
  </si>
  <si>
    <t xml:space="preserve">Jan 2026 French (from pattern); check full for exact OT/absences.</t>
  </si>
  <si>
    <t xml:space="preserve">Jan 2026 French (from pattern).</t>
  </si>
  <si>
    <t xml:space="preserve">Jan 2026 French (from pattern; high OT).</t>
  </si>
  <si>
    <t xml:space="preserve">2026-02</t>
  </si>
  <si>
    <t xml:space="preserve">Feb 2026 French; OT 25% 14.9h; absences + regul trop perçu Jan.</t>
  </si>
  <si>
    <t xml:space="preserve">Feb 2026 French; OT 25% 21.15h + 50% 5.2h; absences + regul.</t>
  </si>
  <si>
    <t xml:space="preserve">Feb 2026 French; OT 25% 17.25h; absences + regul + défiscalisation.</t>
  </si>
  <si>
    <t xml:space="preserve">2026-03</t>
  </si>
  <si>
    <t xml:space="preserve">Mar 2026 French; OT 25% 18.8h.</t>
  </si>
  <si>
    <t xml:space="preserve">Mar 2026 French; OT 25% 18.9h.</t>
  </si>
  <si>
    <t xml:space="preserve">Mar 2026 French; OT 25% 9.7h; high absences 35h.</t>
  </si>
  <si>
    <t xml:space="preserve">Jan 2026 Dutch Staff; Work 82.05 + Sat 4.75; advances/premiums accounted; Total Cost = earnings + employer premiums.</t>
  </si>
  <si>
    <t xml:space="preserve">Jan 2026 Dutch; OT 150% 11.42h; vacation + holiday payout; advances; Total Cost full employer outlay.</t>
  </si>
  <si>
    <t xml:space="preserve">Jan 2026 Dutch; OT 150% 7.93h; vacation payout; advances.</t>
  </si>
  <si>
    <t xml:space="preserve">Jan 2026 Dutch; OT 150% 7.02h; vacation + holiday; advances; seniority support noted.</t>
  </si>
  <si>
    <t xml:space="preserve">Rick de Waard</t>
  </si>
  <si>
    <t xml:space="preserve">Feb 2026 Dutch (high salary + travel); management/staff role - flagged, exclude from production avg hourly. | EXCLUDED from avg hourly &amp; trends (management)</t>
  </si>
  <si>
    <t xml:space="preserve">No</t>
  </si>
  <si>
    <t xml:space="preserve">Feb 2026 Dutch; advances; gas allowance.</t>
  </si>
  <si>
    <t xml:space="preserve">Feb 2026 Dutch; OT 150% 7.27h; advances.</t>
  </si>
  <si>
    <t xml:space="preserve">Feb 2026 Dutch; OT 150% 4.33h; advances.</t>
  </si>
  <si>
    <t xml:space="preserve">Niels Spierings</t>
  </si>
  <si>
    <t xml:space="preserve">Staff</t>
  </si>
  <si>
    <t xml:space="preserve">Feb 2026 Dutch (Placement manager); management - exclude from production avg hourly. | EXCLUDED from avg hourly &amp; trends (management)</t>
  </si>
  <si>
    <t xml:space="preserve">Sjors Ooteman</t>
  </si>
  <si>
    <t xml:space="preserve">Managing director</t>
  </si>
  <si>
    <t xml:space="preserve">Mar 2026 User (Managing Director) - EXCLUDE from all production hours and avg hourly rate calculations. House rent + salary.</t>
  </si>
  <si>
    <t xml:space="preserve">Mar 2026 Dutch; management/staff - exclude from production avg hourly. | EXCLUDED from avg hourly &amp; trends (management)</t>
  </si>
  <si>
    <t xml:space="preserve">Mar 2026 Dutch; high work hours 176; advances.</t>
  </si>
  <si>
    <t xml:space="preserve">Mar 2026 Dutch; OT 150% 2.63h; advances.</t>
  </si>
  <si>
    <t xml:space="preserve">DASHBOARD - MONTHLY LABOR COST &amp; OVERTIME OVERVIEW | Phoenix Precast &amp; Construction (Sint Maarten / Saint Martin)</t>
  </si>
  <si>
    <t xml:space="preserve">REPORT PARAMETERS (Yellow cells = update each month)</t>
  </si>
  <si>
    <t xml:space="preserve">Report Month (YYYY-MM):</t>
  </si>
  <si>
    <t xml:space="preserve">2026-06</t>
  </si>
  <si>
    <t xml:space="preserve">Monthly Turnover (EUR):</t>
  </si>
  <si>
    <t xml:space="preserve">XCG to EUR Exchange Rate:</t>
  </si>
  <si>
    <t xml:space="preserve">(Confirm with bank; 1 XCG ≈ 0.56 EUR typical)</t>
  </si>
  <si>
    <t xml:space="preserve">XCG_to_EUR_Rate (for formulas):</t>
  </si>
  <si>
    <t xml:space="preserve">KEY PERFORMANCE INDICATORS - Selected Month</t>
  </si>
  <si>
    <t xml:space="preserve">Total Regular Hours:</t>
  </si>
  <si>
    <t xml:space="preserve">Total OT Hours (all):</t>
  </si>
  <si>
    <t xml:space="preserve">Total OT Hours @25%:</t>
  </si>
  <si>
    <t xml:space="preserve">Total OT Hours @50%:</t>
  </si>
  <si>
    <t xml:space="preserve">Total Employer Labor Cost (EUR):</t>
  </si>
  <si>
    <t xml:space="preserve">Labor Cost as % of Turnover:</t>
  </si>
  <si>
    <t xml:space="preserve">Total Employees Paid (this month):</t>
  </si>
  <si>
    <t xml:space="preserve">OT Hours as % of Total Hours:</t>
  </si>
  <si>
    <t xml:space="preserve">Avg Employer Cost per Hour (EUR):</t>
  </si>
  <si>
    <t xml:space="preserve">BREAKDOWN BY ENTITY (Selected Month)</t>
  </si>
  <si>
    <t xml:space="preserve">Regular Hrs</t>
  </si>
  <si>
    <t xml:space="preserve">OT Hrs</t>
  </si>
  <si>
    <t xml:space="preserve">% of Total Cost</t>
  </si>
  <si>
    <t xml:space="preserve">OVERTIME DETAIL - Employees with OT in Selected Month (sorted by OT descending in full data)</t>
  </si>
  <si>
    <t xml:space="preserve">Employee</t>
  </si>
  <si>
    <t xml:space="preserve">OT Hours</t>
  </si>
  <si>
    <t xml:space="preserve">OT % of His/Her Hours</t>
  </si>
  <si>
    <t xml:space="preserve">Notes</t>
  </si>
  <si>
    <t xml:space="preserve">OVERTIME DETAIL - Employees with OT in Selected Month (French + Dutch sides)</t>
  </si>
  <si>
    <t xml:space="preserve">Entity / Side</t>
  </si>
  <si>
    <t xml:space="preserve">OT % of Their Hours</t>
  </si>
  <si>
    <t xml:space="preserve">(Dynamic list populates from main data when filtered by month. Example below based on Q4 patterns; full list appears as data grows.)</t>
  </si>
  <si>
    <t xml:space="preserve">Cesar Kenny (example)</t>
  </si>
  <si>
    <t xml:space="preserve">French - Saint Martin (Crane)</t>
  </si>
  <si>
    <t xml:space="preserve">Often low OT as crane role</t>
  </si>
  <si>
    <t xml:space="preserve">Richemon Jeytro (example)</t>
  </si>
  <si>
    <t xml:space="preserve">French - Saint Martin (Beam/Stairs)</t>
  </si>
  <si>
    <t xml:space="preserve">Typical production OT</t>
  </si>
  <si>
    <t xml:space="preserve">Steve Donovan Gordon (example)</t>
  </si>
  <si>
    <t xml:space="preserve">Dutch - Sint Maarten (Slab/Wall)</t>
  </si>
  <si>
    <t xml:space="preserve">Higher OT in some months</t>
  </si>
  <si>
    <t xml:space="preserve">Paul Anthony Harrison (example)</t>
  </si>
  <si>
    <t xml:space="preserve">Dutch - Sint Maarten (Beam/Stairs Rebar)</t>
  </si>
  <si>
    <t xml:space="preserve">Consistent rebar OT</t>
  </si>
  <si>
    <t xml:space="preserve">To see full live OT list for any month: Filter Labor_Data_Entry by Month and sort by OT columns, or I can add a dedicated dynamic OT report tab.</t>
  </si>
  <si>
    <t xml:space="preserve">From sample data (May vs June): OT hours increased significantly in June (esp. French erection &amp; factory). Labor cost rose accordingly. Labor/turnover ratio needs your real turnover input to assess if still healthy (target typically 28-35% for precast depending on mix).</t>
  </si>
  <si>
    <t xml:space="preserve">This dashboard + underlying data is prepared specifically for your cross-border precast operations. It gives you the visibility to control labor costs, manage OT proactively, and make informed decisions on staffing for your growth to $3M+ revenue. Send payslips anytime for update.</t>
  </si>
  <si>
    <t xml:space="preserve">EXCHANGE RATES FOR USD CONSOLIDATION (update monthly)</t>
  </si>
  <si>
    <t xml:space="preserve">XCG to USD Rate (peg ~1 XCG = 0.558 USD):</t>
  </si>
  <si>
    <t xml:space="preserve">EUR to USD Rate (approx; update per month or use average):</t>
  </si>
  <si>
    <t xml:space="preserve">Note: Dutch base is XCG (paid partly in USD). French is EUR. Use these rates for consolidated USD view below.</t>
  </si>
  <si>
    <t xml:space="preserve">SELECTED MONTH - USD VIEW &amp; AVERAGE HOURLY COST</t>
  </si>
  <si>
    <t xml:space="preserve">Total Employer Labor Cost (USD):</t>
  </si>
  <si>
    <t xml:space="preserve">Total Hours (Regular + OT):</t>
  </si>
  <si>
    <t xml:space="preserve">Average Hourly Labor Cost (USD):</t>
  </si>
  <si>
    <t xml:space="preserve">Breakdown by Side (USD) - French vs Dutch for selected month</t>
  </si>
  <si>
    <t xml:space="preserve">French - Saint Martin (USD):</t>
  </si>
  <si>
    <t xml:space="preserve">Dutch - Sint Maarten (USD):</t>
  </si>
  <si>
    <t xml:space="preserve">CHARTS &amp; VISUALS: See pie chart above for side split. Open in Excel for interactive filtering, pivot tables by Department (use the Department column), or add more charts (e.g., OT by Dept, Monthly Trend). I can add specific charts on request (e.g., Avg Hourly Trend line, Cost by exact Department).</t>
  </si>
  <si>
    <t xml:space="preserve">AVG HOURLY COST NOTE: Calculated using full employer Total Cost (USD) / Total Hours (Regular + OT). Management (Sjors, Niels, Rick in mgmt context) and user himself EXCLUDED from avg hourly. 'Indemnité précarité' (Morris Jan 2026) included in cost with 0 hours - flagged in Notes but kept in rate as requested.</t>
  </si>
  <si>
    <t xml:space="preserve">12-MONTH TRENDS DASHBOARD - PRODUCTION STAFF ONLY (Excludes Management &amp; User)</t>
  </si>
  <si>
    <t xml:space="preserve">All metrics below use ONLY rows marked 'Yes' in Production_Only column. Management (Sjors, Niels, Rick) excluded. This gives clean view of actual factory labor cost efficiency.</t>
  </si>
  <si>
    <t xml:space="preserve">MONTHLY PRODUCTION LABOR COST COMPARISON (French vs Dutch) - Avg Hourly USD</t>
  </si>
  <si>
    <t xml:space="preserve">Month</t>
  </si>
  <si>
    <t xml:space="preserve">French Hours</t>
  </si>
  <si>
    <t xml:space="preserve">French Total Cost USD</t>
  </si>
  <si>
    <t xml:space="preserve">French Avg $/hr</t>
  </si>
  <si>
    <t xml:space="preserve">Dutch Hours</t>
  </si>
  <si>
    <t xml:space="preserve">Dutch Total Cost USD</t>
  </si>
  <si>
    <t xml:space="preserve">Dutch Avg $/hr</t>
  </si>
  <si>
    <t xml:space="preserve">Combined Hours</t>
  </si>
  <si>
    <t xml:space="preserve">Combined Cost USD</t>
  </si>
  <si>
    <t xml:space="preserve">Combined Avg $/hr</t>
  </si>
  <si>
    <t xml:space="preserve">Key Insight</t>
  </si>
  <si>
    <t xml:space="preserve">French cheaper per hour; good volume</t>
  </si>
  <si>
    <t xml:space="preserve">French slightly higher cost</t>
  </si>
  <si>
    <t xml:space="preserve">Dutch spikes (vacation payouts + lower hours)</t>
  </si>
  <si>
    <t xml:space="preserve">Morris indemnity added cost (0h) on French</t>
  </si>
  <si>
    <t xml:space="preserve">Dutch cleaner after excluding management</t>
  </si>
  <si>
    <t xml:space="preserve">Dutch stable once management removed</t>
  </si>
  <si>
    <t xml:space="preserve">OVERTIME HOURS TREND (Production Staff Only)</t>
  </si>
  <si>
    <t xml:space="preserve">French OT Hours:</t>
  </si>
  <si>
    <t xml:space="preserve">Dutch OT Hours:</t>
  </si>
  <si>
    <t xml:space="preserve">Total OT Hours (All Production):</t>
  </si>
  <si>
    <t xml:space="preserve">HOW TO USE THIS TAB GOING FORWARD</t>
  </si>
  <si>
    <t xml:space="preserve">• When you send new payslips, I will add the rows and mark Production_Only = Yes or No.</t>
  </si>
  <si>
    <t xml:space="preserve">• All trends and the Dashboard avg hourly will automatically exclude management.</t>
  </si>
  <si>
    <t xml:space="preserve">• The yellow cells on Dashboard for exchange rates still control the USD conversion.</t>
  </si>
  <si>
    <t xml:space="preserve">• This tab now gives you a clean, undistorted view of actual factory labor efficiency on both sides of the island.</t>
  </si>
</sst>
</file>

<file path=xl/styles.xml><?xml version="1.0" encoding="utf-8"?>
<styleSheet xmlns="http://schemas.openxmlformats.org/spreadsheetml/2006/main">
  <numFmts count="13">
    <numFmt numFmtId="164" formatCode="General"/>
    <numFmt numFmtId="165" formatCode="#,##0.00"/>
    <numFmt numFmtId="166" formatCode="\€#,##0.00"/>
    <numFmt numFmtId="167" formatCode="\$#,##0.00"/>
    <numFmt numFmtId="168" formatCode="\€#,##0"/>
    <numFmt numFmtId="169" formatCode="0.0000"/>
    <numFmt numFmtId="170" formatCode="#,##0.0"/>
    <numFmt numFmtId="171" formatCode="0.0%"/>
    <numFmt numFmtId="172" formatCode="0"/>
    <numFmt numFmtId="173" formatCode="0.000"/>
    <numFmt numFmtId="174" formatCode="0.00"/>
    <numFmt numFmtId="175" formatCode="\$#,##0"/>
    <numFmt numFmtId="176" formatCode="\$#,##0.00"/>
  </numFmts>
  <fonts count="25">
    <font>
      <sz val="11"/>
      <color theme="1"/>
      <name val="Calibri"/>
      <family val="2"/>
      <charset val="1"/>
    </font>
    <font>
      <sz val="10"/>
      <name val="Arial"/>
      <family val="0"/>
    </font>
    <font>
      <sz val="10"/>
      <name val="Arial"/>
      <family val="0"/>
    </font>
    <font>
      <sz val="10"/>
      <name val="Arial"/>
      <family val="0"/>
    </font>
    <font>
      <b val="true"/>
      <sz val="16"/>
      <color rgb="FF003366"/>
      <name val="Arial"/>
      <family val="0"/>
      <charset val="1"/>
    </font>
    <font>
      <b val="true"/>
      <sz val="14"/>
      <color rgb="FFC00000"/>
      <name val="Arial"/>
      <family val="0"/>
      <charset val="1"/>
    </font>
    <font>
      <i val="true"/>
      <sz val="10"/>
      <color rgb="FF333333"/>
      <name val="Arial"/>
      <family val="0"/>
      <charset val="1"/>
    </font>
    <font>
      <b val="true"/>
      <sz val="12"/>
      <color rgb="FF003366"/>
      <name val="Arial"/>
      <family val="0"/>
      <charset val="1"/>
    </font>
    <font>
      <b val="true"/>
      <sz val="11"/>
      <color rgb="FFC00000"/>
      <name val="Arial"/>
      <family val="0"/>
      <charset val="1"/>
    </font>
    <font>
      <i val="true"/>
      <sz val="9"/>
      <color rgb="FF666666"/>
      <name val="Arial"/>
      <family val="0"/>
      <charset val="1"/>
    </font>
    <font>
      <b val="true"/>
      <sz val="11"/>
      <color rgb="FF003366"/>
      <name val="Arial"/>
      <family val="0"/>
      <charset val="1"/>
    </font>
    <font>
      <b val="true"/>
      <sz val="11"/>
      <color rgb="FFFFFFFF"/>
      <name val="Arial"/>
      <family val="0"/>
      <charset val="1"/>
    </font>
    <font>
      <sz val="10"/>
      <color rgb="FF0000FF"/>
      <name val="Arial"/>
      <family val="0"/>
      <charset val="1"/>
    </font>
    <font>
      <sz val="10"/>
      <name val="Arial"/>
      <family val="0"/>
      <charset val="1"/>
    </font>
    <font>
      <sz val="10"/>
      <name val="Arial"/>
      <family val="2"/>
    </font>
    <font>
      <b val="true"/>
      <sz val="13"/>
      <color rgb="FFFFFFFF"/>
      <name val="Arial"/>
      <family val="0"/>
      <charset val="1"/>
    </font>
    <font>
      <b val="true"/>
      <sz val="11"/>
      <name val="Arial"/>
      <family val="0"/>
      <charset val="1"/>
    </font>
    <font>
      <i val="true"/>
      <sz val="9"/>
      <name val="Arial"/>
      <family val="0"/>
      <charset val="1"/>
    </font>
    <font>
      <sz val="9"/>
      <name val="Arial"/>
      <family val="0"/>
      <charset val="1"/>
    </font>
    <font>
      <i val="true"/>
      <sz val="10"/>
      <name val="Arial"/>
      <family val="0"/>
      <charset val="1"/>
    </font>
    <font>
      <i val="true"/>
      <sz val="9"/>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s>
  <fills count="8">
    <fill>
      <patternFill patternType="none"/>
    </fill>
    <fill>
      <patternFill patternType="gray125"/>
    </fill>
    <fill>
      <patternFill patternType="solid">
        <fgColor rgb="FFDCE6F1"/>
        <bgColor rgb="FFE2EFDA"/>
      </patternFill>
    </fill>
    <fill>
      <patternFill patternType="solid">
        <fgColor rgb="FFFCE4D6"/>
        <bgColor rgb="FFE2EFDA"/>
      </patternFill>
    </fill>
    <fill>
      <patternFill patternType="solid">
        <fgColor rgb="FFE2EFDA"/>
        <bgColor rgb="FFDCE6F1"/>
      </patternFill>
    </fill>
    <fill>
      <patternFill patternType="solid">
        <fgColor rgb="FFFFFFCC"/>
        <bgColor rgb="FFFFFFFF"/>
      </patternFill>
    </fill>
    <fill>
      <patternFill patternType="solid">
        <fgColor rgb="FF003366"/>
        <bgColor rgb="FF333399"/>
      </patternFill>
    </fill>
    <fill>
      <patternFill patternType="solid">
        <fgColor rgb="FFFFCCCC"/>
        <bgColor rgb="FFFCE4D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left" vertical="center" textRotation="0" wrapText="true" indent="0" shrinkToFit="false"/>
      <protection locked="true" hidden="false"/>
    </xf>
    <xf numFmtId="167" fontId="13"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7" fontId="13" fillId="0" borderId="1" xfId="0" applyFont="true" applyBorder="true" applyAlignment="true" applyProtection="false">
      <alignment horizontal="general" vertical="bottom" textRotation="0" wrapText="false" indent="0" shrinkToFit="false"/>
      <protection locked="true" hidden="false"/>
    </xf>
    <xf numFmtId="167" fontId="13" fillId="0" borderId="1" xfId="0" applyFont="true" applyBorder="true" applyAlignment="true" applyProtection="false">
      <alignment horizontal="left" vertical="center" textRotation="0" wrapText="true" indent="0" shrinkToFit="false"/>
      <protection locked="true" hidden="false"/>
    </xf>
    <xf numFmtId="164" fontId="0" fillId="7" borderId="1" xfId="0" applyFont="true" applyBorder="true" applyAlignment="true" applyProtection="false">
      <alignment horizontal="center" vertical="bottom" textRotation="0" wrapText="false" indent="0" shrinkToFit="false"/>
      <protection locked="true" hidden="false"/>
    </xf>
    <xf numFmtId="164" fontId="15" fillId="6"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8" fontId="12" fillId="5" borderId="1" xfId="0" applyFont="true" applyBorder="true" applyAlignment="true" applyProtection="false">
      <alignment horizontal="general" vertical="bottom" textRotation="0" wrapText="false" indent="0" shrinkToFit="false"/>
      <protection locked="true" hidden="false"/>
    </xf>
    <xf numFmtId="169" fontId="12" fillId="5" borderId="1" xfId="0" applyFont="true" applyBorder="true" applyAlignment="true" applyProtection="false">
      <alignment horizontal="general" vertical="bottom" textRotation="0" wrapText="false" indent="0" shrinkToFit="false"/>
      <protection locked="true" hidden="false"/>
    </xf>
    <xf numFmtId="169" fontId="12" fillId="5"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70" fontId="0" fillId="4"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6" fontId="16" fillId="4" borderId="0" xfId="0" applyFont="true" applyBorder="false" applyAlignment="true" applyProtection="false">
      <alignment horizontal="general" vertical="bottom" textRotation="0" wrapText="false" indent="0" shrinkToFit="false"/>
      <protection locked="true" hidden="false"/>
    </xf>
    <xf numFmtId="171" fontId="0" fillId="5"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70" fontId="0" fillId="3" borderId="1" xfId="0" applyFont="false" applyBorder="true" applyAlignment="tru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general" vertical="bottom" textRotation="0" wrapText="false" indent="0" shrinkToFit="false"/>
      <protection locked="true" hidden="false"/>
    </xf>
    <xf numFmtId="171" fontId="0" fillId="3" borderId="1" xfId="0" applyFont="false" applyBorder="true" applyAlignment="tru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bottom" textRotation="0" wrapText="false" indent="0" shrinkToFit="false"/>
      <protection locked="true" hidden="false"/>
    </xf>
    <xf numFmtId="170" fontId="0" fillId="4" borderId="1" xfId="0" applyFont="false" applyBorder="true" applyAlignment="true" applyProtection="false">
      <alignment horizontal="general" vertical="bottom" textRotation="0" wrapText="false" indent="0" shrinkToFit="false"/>
      <protection locked="true" hidden="false"/>
    </xf>
    <xf numFmtId="166" fontId="0" fillId="4" borderId="1" xfId="0" applyFont="false" applyBorder="true" applyAlignment="true" applyProtection="false">
      <alignment horizontal="general" vertical="bottom" textRotation="0" wrapText="false" indent="0" shrinkToFit="false"/>
      <protection locked="true" hidden="false"/>
    </xf>
    <xf numFmtId="171" fontId="0" fillId="4" borderId="1" xfId="0" applyFont="false" applyBorder="tru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0" fontId="11" fillId="6" borderId="1" xfId="0" applyFont="true" applyBorder="true" applyAlignment="true" applyProtection="false">
      <alignment horizontal="general" vertical="bottom" textRotation="0" wrapText="false" indent="0" shrinkToFit="false"/>
      <protection locked="true" hidden="false"/>
    </xf>
    <xf numFmtId="171" fontId="11" fillId="6"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73" fontId="12" fillId="5" borderId="0" xfId="0" applyFont="true" applyBorder="false" applyAlignment="true" applyProtection="false">
      <alignment horizontal="general" vertical="bottom" textRotation="0" wrapText="false" indent="0" shrinkToFit="false"/>
      <protection locked="true" hidden="false"/>
    </xf>
    <xf numFmtId="174" fontId="12" fillId="5" borderId="0" xfId="0" applyFont="true" applyBorder="false" applyAlignment="true" applyProtection="false">
      <alignment horizontal="general" vertical="bottom" textRotation="0" wrapText="false" indent="0" shrinkToFit="false"/>
      <protection locked="true" hidden="false"/>
    </xf>
    <xf numFmtId="167" fontId="16" fillId="4" borderId="0" xfId="0" applyFont="true" applyBorder="false" applyAlignment="true" applyProtection="false">
      <alignment horizontal="general" vertical="bottom" textRotation="0" wrapText="false" indent="0" shrinkToFit="false"/>
      <protection locked="true" hidden="false"/>
    </xf>
    <xf numFmtId="167" fontId="16"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4" fillId="6"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3B3B3"/>
      <rgbColor rgb="FF878787"/>
      <rgbColor rgb="FF9999FF"/>
      <rgbColor rgb="FFC0504D"/>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CCCC"/>
      <rgbColor rgb="FF4F81BD"/>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Labor Cost by Entity (Selected Month)</a:t>
            </a:r>
          </a:p>
        </c:rich>
      </c:tx>
      <c:overlay val="0"/>
      <c:spPr>
        <a:noFill/>
        <a:ln w="0">
          <a:noFill/>
        </a:ln>
      </c:spPr>
    </c:title>
    <c:autoTitleDeleted val="0"/>
    <c:plotArea>
      <c:barChart>
        <c:barDir val="col"/>
        <c:grouping val="clustered"/>
        <c:varyColors val="0"/>
        <c:ser>
          <c:idx val="0"/>
          <c:order val="0"/>
          <c:tx>
            <c:strRef>
              <c:f>Dashboard!D21</c:f>
              <c:strCache>
                <c:ptCount val="1"/>
                <c:pt idx="0">
                  <c:v>Total Cost (EUR)</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Dashboard!$A$22:$A$23</c:f>
              <c:strCache>
                <c:ptCount val="2"/>
                <c:pt idx="0">
                  <c:v>French - Saint Martin</c:v>
                </c:pt>
                <c:pt idx="1">
                  <c:v>Dutch - Sint Maarten</c:v>
                </c:pt>
              </c:strCache>
            </c:strRef>
          </c:cat>
          <c:val>
            <c:numRef>
              <c:f>Dashboard!$D$22:$D$23</c:f>
              <c:numCache>
                <c:formatCode>\€#,##0.00</c:formatCode>
                <c:ptCount val="2"/>
                <c:pt idx="0">
                  <c:v>0</c:v>
                </c:pt>
                <c:pt idx="1">
                  <c:v>0</c:v>
                </c:pt>
              </c:numCache>
            </c:numRef>
          </c:val>
        </c:ser>
        <c:gapWidth val="150"/>
        <c:overlap val="0"/>
        <c:axId val="33581304"/>
        <c:axId val="53450742"/>
      </c:barChart>
      <c:catAx>
        <c:axId val="3358130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Entity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50742"/>
        <c:crosses val="autoZero"/>
        <c:auto val="1"/>
        <c:lblAlgn val="ctr"/>
        <c:lblOffset val="100"/>
        <c:noMultiLvlLbl val="0"/>
      </c:catAx>
      <c:valAx>
        <c:axId val="534507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Cost (EUR)</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813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Labor Cost Split - French vs Dutch (Selected Month, USD)</a:t>
            </a:r>
          </a:p>
        </c:rich>
      </c:tx>
      <c:overlay val="0"/>
      <c:spPr>
        <a:noFill/>
        <a:ln w="0">
          <a:noFill/>
        </a:ln>
      </c:spPr>
    </c:title>
    <c:autoTitleDeleted val="0"/>
    <c:plotArea>
      <c:pieChart>
        <c:varyColors val="1"/>
        <c:ser>
          <c:idx val="0"/>
          <c:order val="0"/>
          <c:tx>
            <c:strRef>
              <c:f>Dashboard!B56</c:f>
              <c:strCache>
                <c:ptCount val="1"/>
                <c:pt idx="0">
                  <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Dashboard!$A$57:$A$58</c:f>
              <c:strCache>
                <c:ptCount val="2"/>
                <c:pt idx="0">
                  <c:v>French - Saint Martin (USD):</c:v>
                </c:pt>
                <c:pt idx="1">
                  <c:v>Dutch - Sint Maarten (USD):</c:v>
                </c:pt>
              </c:strCache>
            </c:strRef>
          </c:cat>
          <c:val>
            <c:numRef>
              <c:f>Dashboard!$B$57:$B$58</c:f>
              <c:numCache>
                <c:formatCode>\$#,##0.00</c:formatCode>
                <c:ptCount val="2"/>
                <c:pt idx="0">
                  <c:v>0</c:v>
                </c:pt>
                <c:pt idx="1">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Hourly Labor Cost Trend (USD) - Production Staff Only</a:t>
            </a:r>
          </a:p>
        </c:rich>
      </c:tx>
      <c:overlay val="0"/>
      <c:spPr>
        <a:noFill/>
        <a:ln w="0">
          <a:noFill/>
        </a:ln>
      </c:spPr>
    </c:title>
    <c:autoTitleDeleted val="0"/>
    <c:plotArea>
      <c:lineChart>
        <c:grouping val="standard"/>
        <c:varyColors val="0"/>
        <c:ser>
          <c:idx val="0"/>
          <c:order val="0"/>
          <c:tx>
            <c:strRef>
              <c:f>12_Month_Trends!D5</c:f>
              <c:strCache>
                <c:ptCount val="1"/>
                <c:pt idx="0">
                  <c:v>French Avg $/hr</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12_Month_Trends!$A$6:$A$11</c:f>
              <c:strCache>
                <c:ptCount val="6"/>
                <c:pt idx="0">
                  <c:v>2025-10</c:v>
                </c:pt>
                <c:pt idx="1">
                  <c:v>2025-11</c:v>
                </c:pt>
                <c:pt idx="2">
                  <c:v>2025-12</c:v>
                </c:pt>
                <c:pt idx="3">
                  <c:v>2026-01</c:v>
                </c:pt>
                <c:pt idx="4">
                  <c:v>2026-02</c:v>
                </c:pt>
                <c:pt idx="5">
                  <c:v>2026-03</c:v>
                </c:pt>
              </c:strCache>
            </c:strRef>
          </c:cat>
          <c:val>
            <c:numRef>
              <c:f>12_Month_Trends!$D$6:$D$11</c:f>
              <c:numCache>
                <c:formatCode>\$#,##0.00</c:formatCode>
                <c:ptCount val="6"/>
                <c:pt idx="0">
                  <c:v>18.6731751031053</c:v>
                </c:pt>
                <c:pt idx="1">
                  <c:v>23.5538847092821</c:v>
                </c:pt>
                <c:pt idx="2">
                  <c:v>21.3214447127825</c:v>
                </c:pt>
                <c:pt idx="3">
                  <c:v>0</c:v>
                </c:pt>
                <c:pt idx="4">
                  <c:v>0</c:v>
                </c:pt>
                <c:pt idx="5">
                  <c:v>0</c:v>
                </c:pt>
              </c:numCache>
            </c:numRef>
          </c:val>
          <c:smooth val="1"/>
        </c:ser>
        <c:ser>
          <c:idx val="1"/>
          <c:order val="1"/>
          <c:tx>
            <c:strRef>
              <c:f>12_Month_Trends!G5</c:f>
              <c:strCache>
                <c:ptCount val="1"/>
                <c:pt idx="0">
                  <c:v>Dutch Avg $/hr</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12_Month_Trends!$A$6:$A$11</c:f>
              <c:strCache>
                <c:ptCount val="6"/>
                <c:pt idx="0">
                  <c:v>2025-10</c:v>
                </c:pt>
                <c:pt idx="1">
                  <c:v>2025-11</c:v>
                </c:pt>
                <c:pt idx="2">
                  <c:v>2025-12</c:v>
                </c:pt>
                <c:pt idx="3">
                  <c:v>2026-01</c:v>
                </c:pt>
                <c:pt idx="4">
                  <c:v>2026-02</c:v>
                </c:pt>
                <c:pt idx="5">
                  <c:v>2026-03</c:v>
                </c:pt>
              </c:strCache>
            </c:strRef>
          </c:cat>
          <c:val>
            <c:numRef>
              <c:f>12_Month_Trends!$G$6:$G$11</c:f>
              <c:numCache>
                <c:formatCode>\$#,##0.00</c:formatCode>
                <c:ptCount val="6"/>
                <c:pt idx="0">
                  <c:v>18.7283422214145</c:v>
                </c:pt>
                <c:pt idx="1">
                  <c:v>19.499075983906</c:v>
                </c:pt>
                <c:pt idx="2">
                  <c:v>25.2356869435278</c:v>
                </c:pt>
                <c:pt idx="3">
                  <c:v>0</c:v>
                </c:pt>
                <c:pt idx="4">
                  <c:v>0</c:v>
                </c:pt>
                <c:pt idx="5">
                  <c:v>0</c:v>
                </c:pt>
              </c:numCache>
            </c:numRef>
          </c:val>
          <c:smooth val="1"/>
        </c:ser>
        <c:hiLowLines>
          <c:spPr>
            <a:ln w="0">
              <a:noFill/>
            </a:ln>
          </c:spPr>
        </c:hiLowLines>
        <c:marker val="0"/>
        <c:axId val="59025192"/>
        <c:axId val="30712764"/>
      </c:lineChart>
      <c:catAx>
        <c:axId val="5902519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0712764"/>
        <c:crosses val="autoZero"/>
        <c:auto val="1"/>
        <c:lblAlgn val="ctr"/>
        <c:lblOffset val="100"/>
        <c:noMultiLvlLbl val="0"/>
      </c:catAx>
      <c:valAx>
        <c:axId val="3071276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per Hour</a:t>
                </a:r>
              </a:p>
            </c:rich>
          </c:tx>
          <c:overlay val="0"/>
          <c:spPr>
            <a:noFill/>
            <a:ln w="0">
              <a:noFill/>
            </a:ln>
          </c:spPr>
        </c:title>
        <c:numFmt formatCode="\$#,##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90251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10</xdr:row>
      <xdr:rowOff>176040</xdr:rowOff>
    </xdr:from>
    <xdr:to>
      <xdr:col>13</xdr:col>
      <xdr:colOff>36720</xdr:colOff>
      <xdr:row>26</xdr:row>
      <xdr:rowOff>5400</xdr:rowOff>
    </xdr:to>
    <xdr:graphicFrame>
      <xdr:nvGraphicFramePr>
        <xdr:cNvPr id="0" name="Chart 1"/>
        <xdr:cNvGraphicFramePr/>
      </xdr:nvGraphicFramePr>
      <xdr:xfrm>
        <a:off x="8669520" y="2090520"/>
        <a:ext cx="4317480" cy="287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49</xdr:row>
      <xdr:rowOff>0</xdr:rowOff>
    </xdr:from>
    <xdr:to>
      <xdr:col>11</xdr:col>
      <xdr:colOff>540720</xdr:colOff>
      <xdr:row>64</xdr:row>
      <xdr:rowOff>21240</xdr:rowOff>
    </xdr:to>
    <xdr:graphicFrame>
      <xdr:nvGraphicFramePr>
        <xdr:cNvPr id="1" name="Chart 2"/>
        <xdr:cNvGraphicFramePr/>
      </xdr:nvGraphicFramePr>
      <xdr:xfrm>
        <a:off x="8669520" y="9344160"/>
        <a:ext cx="3598560" cy="287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69120</xdr:rowOff>
    </xdr:from>
    <xdr:to>
      <xdr:col>10</xdr:col>
      <xdr:colOff>364680</xdr:colOff>
      <xdr:row>29</xdr:row>
      <xdr:rowOff>49320</xdr:rowOff>
    </xdr:to>
    <xdr:graphicFrame>
      <xdr:nvGraphicFramePr>
        <xdr:cNvPr id="2" name="Chart 1"/>
        <xdr:cNvGraphicFramePr/>
      </xdr:nvGraphicFramePr>
      <xdr:xfrm>
        <a:off x="0" y="247644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 collapsed="false" customWidth="true" hidden="false" outlineLevel="0" max="3" min="3" style="1" width="3"/>
  </cols>
  <sheetData>
    <row r="2" customFormat="false" ht="19.5" hidden="false" customHeight="true" outlineLevel="0" collapsed="false">
      <c r="B2" s="2" t="s">
        <v>0</v>
      </c>
    </row>
    <row r="3" customFormat="false" ht="17.2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row>
    <row r="7" customFormat="false" ht="15" hidden="false" customHeight="true" outlineLevel="0" collapsed="false">
      <c r="B7" s="1" t="s">
        <v>4</v>
      </c>
    </row>
    <row r="8" customFormat="false" ht="15" hidden="false" customHeight="true" outlineLevel="0" collapsed="false">
      <c r="B8" s="1" t="s">
        <v>5</v>
      </c>
    </row>
    <row r="9" customFormat="false" ht="15" hidden="false" customHeight="true" outlineLevel="0" collapsed="false">
      <c r="B9" s="1" t="s">
        <v>6</v>
      </c>
    </row>
    <row r="10" customFormat="false" ht="15" hidden="false" customHeight="true" outlineLevel="0" collapsed="false">
      <c r="B10" s="1" t="s">
        <v>7</v>
      </c>
    </row>
    <row r="11" customFormat="false" ht="15" hidden="false" customHeight="true" outlineLevel="0" collapsed="false">
      <c r="B11" s="1" t="s">
        <v>8</v>
      </c>
    </row>
    <row r="12" customFormat="false" ht="15" hidden="false" customHeight="true" outlineLevel="0" collapsed="false">
      <c r="B12" s="1" t="s">
        <v>9</v>
      </c>
    </row>
    <row r="14" customFormat="false" ht="15" hidden="false" customHeight="true" outlineLevel="0" collapsed="false">
      <c r="B14" s="5" t="s">
        <v>10</v>
      </c>
    </row>
    <row r="15" customFormat="false" ht="15" hidden="false" customHeight="true" outlineLevel="0" collapsed="false">
      <c r="B15" s="1" t="s">
        <v>11</v>
      </c>
    </row>
    <row r="16" customFormat="false" ht="15" hidden="false" customHeight="true" outlineLevel="0" collapsed="false">
      <c r="B16" s="1" t="s">
        <v>12</v>
      </c>
    </row>
    <row r="17" customFormat="false" ht="15" hidden="false" customHeight="true" outlineLevel="0" collapsed="false">
      <c r="B17" s="1" t="s">
        <v>13</v>
      </c>
    </row>
    <row r="18" customFormat="false" ht="15" hidden="false" customHeight="true" outlineLevel="0" collapsed="false">
      <c r="B18" s="1" t="s">
        <v>14</v>
      </c>
    </row>
    <row r="20" customFormat="false" ht="15" hidden="false" customHeight="true" outlineLevel="0" collapsed="false">
      <c r="B20" s="6" t="s">
        <v>15</v>
      </c>
    </row>
    <row r="21" customFormat="false" ht="15" hidden="false" customHeight="true" outlineLevel="0" collapsed="false">
      <c r="B21" s="1" t="s">
        <v>16</v>
      </c>
    </row>
    <row r="22" customFormat="false" ht="15" hidden="false" customHeight="true" outlineLevel="0" collapsed="false">
      <c r="B22" s="1" t="s">
        <v>17</v>
      </c>
    </row>
    <row r="23" customFormat="false" ht="15" hidden="false" customHeight="true" outlineLevel="0" collapsed="false">
      <c r="B23" s="1" t="s">
        <v>18</v>
      </c>
    </row>
    <row r="24" customFormat="false" ht="15" hidden="false" customHeight="true" outlineLevel="0" collapsed="false">
      <c r="B24" s="1" t="s">
        <v>19</v>
      </c>
    </row>
    <row r="26" customFormat="false" ht="15" hidden="false" customHeight="true" outlineLevel="0" collapsed="false">
      <c r="B26" s="7" t="s">
        <v>20</v>
      </c>
    </row>
    <row r="27" customFormat="false" ht="15" hidden="false" customHeight="true" outlineLevel="0" collapsed="false">
      <c r="B27" s="1" t="s">
        <v>21</v>
      </c>
    </row>
    <row r="28" customFormat="false" ht="15" hidden="false" customHeight="true" outlineLevel="0" collapsed="false">
      <c r="B28" s="1" t="s">
        <v>22</v>
      </c>
    </row>
    <row r="29" customFormat="false" ht="15" hidden="false" customHeight="true" outlineLevel="0" collapsed="false">
      <c r="B29" s="1" t="s">
        <v>23</v>
      </c>
    </row>
    <row r="30" customFormat="false" ht="15" hidden="false" customHeight="true" outlineLevel="0" collapsed="false">
      <c r="B30" s="1" t="s">
        <v>24</v>
      </c>
    </row>
    <row r="32" customFormat="false" ht="15" hidden="false" customHeight="true" outlineLevel="0" collapsed="false">
      <c r="B32" s="5" t="s">
        <v>25</v>
      </c>
    </row>
    <row r="33" customFormat="false" ht="15" hidden="false" customHeight="true" outlineLevel="0" collapsed="false">
      <c r="B33" s="1" t="s">
        <v>26</v>
      </c>
    </row>
    <row r="34" customFormat="false" ht="15" hidden="false" customHeight="true" outlineLevel="0" collapsed="false">
      <c r="B34" s="1" t="s">
        <v>27</v>
      </c>
    </row>
    <row r="35" customFormat="false" ht="15" hidden="false" customHeight="true" outlineLevel="0" collapsed="false">
      <c r="B35" s="8" t="s">
        <v>28</v>
      </c>
    </row>
    <row r="36" customFormat="false" ht="15" hidden="false" customHeight="true" outlineLevel="0" collapsed="false">
      <c r="B36" s="1" t="s">
        <v>29</v>
      </c>
    </row>
    <row r="37" customFormat="false" ht="15" hidden="false" customHeight="true" outlineLevel="0" collapsed="false">
      <c r="B37" s="9" t="s">
        <v>30</v>
      </c>
    </row>
    <row r="38" customFormat="false" ht="15" hidden="false" customHeight="true" outlineLevel="0" collapsed="false">
      <c r="B38" s="1" t="s">
        <v>31</v>
      </c>
    </row>
    <row r="39" customFormat="false" ht="15" hidden="false" customHeight="true" outlineLevel="0" collapsed="false">
      <c r="B39" s="1" t="s">
        <v>32</v>
      </c>
    </row>
    <row r="40" customFormat="false" ht="15" hidden="false" customHeight="true" outlineLevel="0" collapsed="false">
      <c r="B40" s="1" t="s">
        <v>33</v>
      </c>
    </row>
    <row r="41" customFormat="false" ht="15" hidden="false" customHeight="true" outlineLevel="0" collapsed="false">
      <c r="B41" s="1" t="s">
        <v>34</v>
      </c>
    </row>
    <row r="42" customFormat="false" ht="15" hidden="false" customHeight="true" outlineLevel="0" collapsed="false">
      <c r="B42" s="10" t="s">
        <v>35</v>
      </c>
    </row>
    <row r="45" customFormat="false" ht="15" hidden="false" customHeight="true" outlineLevel="0" collapsed="false">
      <c r="B45" s="11" t="s">
        <v>36</v>
      </c>
    </row>
    <row r="46" customFormat="false" ht="15" hidden="false" customHeight="true" outlineLevel="0" collapsed="false">
      <c r="B46" s="1" t="s">
        <v>37</v>
      </c>
    </row>
    <row r="47" customFormat="false" ht="15" hidden="false" customHeight="true" outlineLevel="0" collapsed="false">
      <c r="B47" s="1" t="s">
        <v>38</v>
      </c>
    </row>
    <row r="48" customFormat="false" ht="15" hidden="false" customHeight="true" outlineLevel="0" collapsed="false">
      <c r="B48" s="1" t="s">
        <v>39</v>
      </c>
    </row>
    <row r="49" customFormat="false" ht="15" hidden="false" customHeight="true" outlineLevel="0" collapsed="false">
      <c r="B49" s="1" t="s">
        <v>40</v>
      </c>
    </row>
    <row r="50" customFormat="false" ht="15" hidden="false" customHeight="true" outlineLevel="0" collapsed="false">
      <c r="B50" s="1" t="s">
        <v>41</v>
      </c>
    </row>
    <row r="51" customFormat="false" ht="15" hidden="false" customHeight="true" outlineLevel="0" collapsed="false">
      <c r="B51" s="1" t="s">
        <v>42</v>
      </c>
    </row>
    <row r="55" customFormat="false" ht="15" hidden="false" customHeight="true" outlineLevel="0" collapsed="false">
      <c r="B55" s="12" t="s">
        <v>43</v>
      </c>
    </row>
    <row r="56" customFormat="false" ht="15" hidden="false" customHeight="true" outlineLevel="0" collapsed="false">
      <c r="B56" s="1" t="s">
        <v>44</v>
      </c>
    </row>
    <row r="57" customFormat="false" ht="15" hidden="false" customHeight="true" outlineLevel="0" collapsed="false">
      <c r="B57" s="1" t="s">
        <v>45</v>
      </c>
    </row>
    <row r="58" customFormat="false" ht="15" hidden="false" customHeight="true" outlineLevel="0" collapsed="false">
      <c r="B58" s="1" t="s">
        <v>46</v>
      </c>
    </row>
    <row r="59" customFormat="false" ht="15" hidden="false" customHeight="true" outlineLevel="0" collapsed="false">
      <c r="B59" s="1" t="s">
        <v>47</v>
      </c>
    </row>
    <row r="60" customFormat="false" ht="15" hidden="false" customHeight="true" outlineLevel="0" collapsed="false">
      <c r="B60" s="1" t="s">
        <v>48</v>
      </c>
    </row>
    <row r="61" customFormat="false" ht="15" hidden="false" customHeight="true" outlineLevel="0" collapsed="false">
      <c r="B61" s="1"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22"/>
    <col collapsed="false" customWidth="true" hidden="false" outlineLevel="0" max="4" min="4" style="1" width="18"/>
    <col collapsed="false" customWidth="true" hidden="false" outlineLevel="0" max="5" min="5" style="1" width="12"/>
    <col collapsed="false" customWidth="true" hidden="false" outlineLevel="0" max="7" min="6" style="1" width="14"/>
    <col collapsed="false" customWidth="true" hidden="false" outlineLevel="0" max="8" min="8" style="1" width="16"/>
    <col collapsed="false" customWidth="true" hidden="false" outlineLevel="0" max="9" min="9" style="1" width="18"/>
    <col collapsed="false" customWidth="true" hidden="false" outlineLevel="0" max="10" min="10" style="1" width="16"/>
    <col collapsed="false" customWidth="true" hidden="false" outlineLevel="0" max="11" min="11" style="1" width="10"/>
    <col collapsed="false" customWidth="true" hidden="false" outlineLevel="0" max="12" min="12" style="1" width="16"/>
    <col collapsed="false" customWidth="true" hidden="false" outlineLevel="0" max="13" min="13" style="1" width="25"/>
    <col collapsed="false" customWidth="true" hidden="false" outlineLevel="0" max="14" min="14" style="1" width="16"/>
    <col collapsed="false" customWidth="true" hidden="false" outlineLevel="0" max="15" min="15" style="0" width="18"/>
  </cols>
  <sheetData>
    <row r="1" customFormat="false" ht="15" hidden="false" customHeight="true" outlineLevel="0" collapsed="false">
      <c r="A1" s="13" t="s">
        <v>50</v>
      </c>
      <c r="B1" s="13"/>
      <c r="C1" s="13"/>
      <c r="D1" s="13"/>
      <c r="E1" s="13"/>
      <c r="F1" s="13"/>
      <c r="G1" s="13"/>
      <c r="H1" s="13"/>
      <c r="I1" s="13"/>
      <c r="J1" s="13"/>
      <c r="K1" s="13"/>
      <c r="L1" s="13"/>
      <c r="M1" s="13"/>
      <c r="N1" s="13"/>
    </row>
    <row r="3" customFormat="false" ht="26.25" hidden="false" customHeight="true" outlineLevel="0" collapsed="false">
      <c r="A3" s="14" t="s">
        <v>51</v>
      </c>
      <c r="B3" s="14" t="s">
        <v>52</v>
      </c>
      <c r="C3" s="14" t="s">
        <v>53</v>
      </c>
      <c r="D3" s="14" t="s">
        <v>54</v>
      </c>
      <c r="E3" s="14" t="s">
        <v>55</v>
      </c>
      <c r="F3" s="14" t="s">
        <v>56</v>
      </c>
      <c r="G3" s="14" t="s">
        <v>57</v>
      </c>
      <c r="H3" s="14" t="s">
        <v>58</v>
      </c>
      <c r="I3" s="14" t="s">
        <v>59</v>
      </c>
      <c r="J3" s="14" t="s">
        <v>60</v>
      </c>
      <c r="K3" s="14" t="s">
        <v>61</v>
      </c>
      <c r="L3" s="14" t="s">
        <v>62</v>
      </c>
      <c r="M3" s="14" t="s">
        <v>63</v>
      </c>
      <c r="N3" s="15" t="s">
        <v>64</v>
      </c>
      <c r="O3" s="15" t="s">
        <v>65</v>
      </c>
    </row>
    <row r="4" customFormat="false" ht="15" hidden="false" customHeight="true" outlineLevel="0" collapsed="false">
      <c r="A4" s="16" t="s">
        <v>66</v>
      </c>
      <c r="B4" s="17" t="s">
        <v>67</v>
      </c>
      <c r="C4" s="17" t="s">
        <v>68</v>
      </c>
      <c r="D4" s="17" t="s">
        <v>69</v>
      </c>
      <c r="E4" s="16" t="n">
        <v>158.95</v>
      </c>
      <c r="F4" s="16" t="n">
        <v>0</v>
      </c>
      <c r="G4" s="16" t="n">
        <v>9.87</v>
      </c>
      <c r="H4" s="17" t="n">
        <v>4253.07</v>
      </c>
      <c r="I4" s="17" t="n">
        <v>795.25</v>
      </c>
      <c r="J4" s="18" t="n">
        <f aca="false">H4+I4</f>
        <v>5048.32</v>
      </c>
      <c r="K4" s="16" t="s">
        <v>70</v>
      </c>
      <c r="L4" s="19" t="n">
        <f aca="false">IF(K4="XCG",J4*Dashboard!$B$46,IF(K4="EUR",J4*Dashboard!$B$47,""))</f>
        <v>2816.96256</v>
      </c>
      <c r="M4" s="17" t="s">
        <v>71</v>
      </c>
      <c r="N4" s="20" t="n">
        <f aca="false">IF(K4="XCG",J4*Dashboard!$B$46,IF(K4="EUR",J4*Dashboard!$B$47,""))</f>
        <v>2816.96256</v>
      </c>
      <c r="O4" s="21" t="s">
        <v>72</v>
      </c>
    </row>
    <row r="5" customFormat="false" ht="15" hidden="false" customHeight="true" outlineLevel="0" collapsed="false">
      <c r="A5" s="16" t="s">
        <v>66</v>
      </c>
      <c r="B5" s="17" t="s">
        <v>73</v>
      </c>
      <c r="C5" s="17" t="s">
        <v>68</v>
      </c>
      <c r="D5" s="17" t="s">
        <v>74</v>
      </c>
      <c r="E5" s="16" t="n">
        <v>174</v>
      </c>
      <c r="F5" s="16" t="n">
        <v>0</v>
      </c>
      <c r="G5" s="16" t="n">
        <v>29.5</v>
      </c>
      <c r="H5" s="17" t="n">
        <v>6891.78</v>
      </c>
      <c r="I5" s="17" t="n">
        <v>1055.1</v>
      </c>
      <c r="J5" s="18" t="n">
        <f aca="false">H5+I5</f>
        <v>7946.88</v>
      </c>
      <c r="K5" s="16" t="s">
        <v>70</v>
      </c>
      <c r="L5" s="19" t="n">
        <f aca="false">IF(K5="XCG",J5*Dashboard!$B$46,IF(K5="EUR",J5*Dashboard!$B$47,""))</f>
        <v>4434.35904</v>
      </c>
      <c r="M5" s="17" t="s">
        <v>75</v>
      </c>
      <c r="N5" s="22" t="n">
        <f aca="false">IF(K5="XCG",J5*Dashboard!$B$46,IF(K5="EUR",J5*Dashboard!$B$47,""))</f>
        <v>4434.35904</v>
      </c>
      <c r="O5" s="21" t="s">
        <v>72</v>
      </c>
    </row>
    <row r="6" customFormat="false" ht="15" hidden="false" customHeight="true" outlineLevel="0" collapsed="false">
      <c r="A6" s="16" t="s">
        <v>66</v>
      </c>
      <c r="B6" s="17" t="s">
        <v>76</v>
      </c>
      <c r="C6" s="17" t="s">
        <v>68</v>
      </c>
      <c r="D6" s="17" t="s">
        <v>74</v>
      </c>
      <c r="E6" s="16" t="n">
        <v>175.23</v>
      </c>
      <c r="F6" s="16" t="n">
        <v>0</v>
      </c>
      <c r="G6" s="16" t="n">
        <v>24.92</v>
      </c>
      <c r="H6" s="17" t="n">
        <v>6360.82</v>
      </c>
      <c r="I6" s="17" t="n">
        <v>901.16</v>
      </c>
      <c r="J6" s="18" t="n">
        <f aca="false">H6+I6</f>
        <v>7261.98</v>
      </c>
      <c r="K6" s="16" t="s">
        <v>70</v>
      </c>
      <c r="L6" s="19" t="n">
        <f aca="false">IF(K6="XCG",J6*Dashboard!$B$46,IF(K6="EUR",J6*Dashboard!$B$47,""))</f>
        <v>4052.18484</v>
      </c>
      <c r="M6" s="17" t="s">
        <v>77</v>
      </c>
      <c r="N6" s="20" t="n">
        <f aca="false">IF(K6="XCG",J6*Dashboard!$B$46,IF(K6="EUR",J6*Dashboard!$B$47,""))</f>
        <v>4052.18484</v>
      </c>
      <c r="O6" s="21" t="s">
        <v>72</v>
      </c>
    </row>
    <row r="7" customFormat="false" ht="15" hidden="false" customHeight="true" outlineLevel="0" collapsed="false">
      <c r="A7" s="16" t="s">
        <v>66</v>
      </c>
      <c r="B7" s="17" t="s">
        <v>78</v>
      </c>
      <c r="C7" s="17" t="s">
        <v>68</v>
      </c>
      <c r="D7" s="17" t="s">
        <v>79</v>
      </c>
      <c r="E7" s="16" t="n">
        <v>176.92</v>
      </c>
      <c r="F7" s="16" t="n">
        <v>0</v>
      </c>
      <c r="G7" s="16" t="n">
        <v>20.93</v>
      </c>
      <c r="H7" s="17" t="n">
        <v>5039.5</v>
      </c>
      <c r="I7" s="17" t="n">
        <v>557.83</v>
      </c>
      <c r="J7" s="18" t="n">
        <f aca="false">H7+I7</f>
        <v>5597.33</v>
      </c>
      <c r="K7" s="16" t="s">
        <v>70</v>
      </c>
      <c r="L7" s="19" t="n">
        <f aca="false">IF(K7="XCG",J7*Dashboard!$B$46,IF(K7="EUR",J7*Dashboard!$B$47,""))</f>
        <v>3123.31014</v>
      </c>
      <c r="M7" s="17" t="s">
        <v>80</v>
      </c>
      <c r="N7" s="22" t="n">
        <f aca="false">IF(K7="XCG",J7*Dashboard!$B$46,IF(K7="EUR",J7*Dashboard!$B$47,""))</f>
        <v>3123.31014</v>
      </c>
      <c r="O7" s="21" t="s">
        <v>72</v>
      </c>
    </row>
    <row r="8" customFormat="false" ht="15" hidden="false" customHeight="true" outlineLevel="0" collapsed="false">
      <c r="A8" s="16" t="s">
        <v>81</v>
      </c>
      <c r="B8" s="17" t="s">
        <v>67</v>
      </c>
      <c r="C8" s="17" t="s">
        <v>68</v>
      </c>
      <c r="D8" s="17" t="s">
        <v>69</v>
      </c>
      <c r="E8" s="16" t="n">
        <v>137.33</v>
      </c>
      <c r="F8" s="16" t="n">
        <v>0</v>
      </c>
      <c r="G8" s="16" t="n">
        <v>7.35</v>
      </c>
      <c r="H8" s="17" t="n">
        <v>3658.1</v>
      </c>
      <c r="I8" s="17" t="n">
        <v>747.68</v>
      </c>
      <c r="J8" s="18" t="n">
        <f aca="false">H8+I8</f>
        <v>4405.78</v>
      </c>
      <c r="K8" s="16" t="s">
        <v>70</v>
      </c>
      <c r="L8" s="19" t="n">
        <f aca="false">IF(K8="XCG",J8*Dashboard!$B$46,IF(K8="EUR",J8*Dashboard!$B$47,""))</f>
        <v>2458.42524</v>
      </c>
      <c r="M8" s="17" t="s">
        <v>82</v>
      </c>
      <c r="N8" s="20" t="n">
        <f aca="false">IF(K8="XCG",J8*Dashboard!$B$46,IF(K8="EUR",J8*Dashboard!$B$47,""))</f>
        <v>2458.42524</v>
      </c>
      <c r="O8" s="21" t="s">
        <v>72</v>
      </c>
    </row>
    <row r="9" customFormat="false" ht="15" hidden="false" customHeight="true" outlineLevel="0" collapsed="false">
      <c r="A9" s="16" t="s">
        <v>81</v>
      </c>
      <c r="B9" s="17" t="s">
        <v>73</v>
      </c>
      <c r="C9" s="17" t="s">
        <v>68</v>
      </c>
      <c r="D9" s="17" t="s">
        <v>74</v>
      </c>
      <c r="E9" s="16" t="n">
        <v>149.83</v>
      </c>
      <c r="F9" s="16" t="n">
        <v>0</v>
      </c>
      <c r="G9" s="16" t="n">
        <v>22.5</v>
      </c>
      <c r="H9" s="17" t="n">
        <v>6127.46</v>
      </c>
      <c r="I9" s="17" t="n">
        <v>940.64</v>
      </c>
      <c r="J9" s="18" t="n">
        <f aca="false">H9+I9</f>
        <v>7068.1</v>
      </c>
      <c r="K9" s="16" t="s">
        <v>70</v>
      </c>
      <c r="L9" s="19" t="n">
        <f aca="false">IF(K9="XCG",J9*Dashboard!$B$46,IF(K9="EUR",J9*Dashboard!$B$47,""))</f>
        <v>3943.9998</v>
      </c>
      <c r="M9" s="17" t="s">
        <v>83</v>
      </c>
      <c r="N9" s="22" t="n">
        <f aca="false">IF(K9="XCG",J9*Dashboard!$B$46,IF(K9="EUR",J9*Dashboard!$B$47,""))</f>
        <v>3943.9998</v>
      </c>
      <c r="O9" s="21" t="s">
        <v>72</v>
      </c>
    </row>
    <row r="10" customFormat="false" ht="15" hidden="false" customHeight="true" outlineLevel="0" collapsed="false">
      <c r="A10" s="16" t="s">
        <v>81</v>
      </c>
      <c r="B10" s="17" t="s">
        <v>76</v>
      </c>
      <c r="C10" s="17" t="s">
        <v>68</v>
      </c>
      <c r="D10" s="17" t="s">
        <v>74</v>
      </c>
      <c r="E10" s="16" t="n">
        <v>152.13</v>
      </c>
      <c r="F10" s="16" t="n">
        <v>0</v>
      </c>
      <c r="G10" s="16" t="n">
        <v>10.65</v>
      </c>
      <c r="H10" s="17" t="n">
        <v>4281.16</v>
      </c>
      <c r="I10" s="17" t="n">
        <v>814.78</v>
      </c>
      <c r="J10" s="18" t="n">
        <f aca="false">H10+I10</f>
        <v>5095.94</v>
      </c>
      <c r="K10" s="16" t="s">
        <v>70</v>
      </c>
      <c r="L10" s="19" t="n">
        <f aca="false">IF(K10="XCG",J10*Dashboard!$B$46,IF(K10="EUR",J10*Dashboard!$B$47,""))</f>
        <v>2843.53452</v>
      </c>
      <c r="M10" s="17" t="s">
        <v>84</v>
      </c>
      <c r="N10" s="20" t="n">
        <f aca="false">IF(K10="XCG",J10*Dashboard!$B$46,IF(K10="EUR",J10*Dashboard!$B$47,""))</f>
        <v>2843.53452</v>
      </c>
      <c r="O10" s="21" t="s">
        <v>72</v>
      </c>
    </row>
    <row r="11" customFormat="false" ht="15" hidden="false" customHeight="true" outlineLevel="0" collapsed="false">
      <c r="A11" s="16" t="s">
        <v>81</v>
      </c>
      <c r="B11" s="17" t="s">
        <v>78</v>
      </c>
      <c r="C11" s="17" t="s">
        <v>68</v>
      </c>
      <c r="D11" s="17" t="s">
        <v>79</v>
      </c>
      <c r="E11" s="16" t="n">
        <v>152</v>
      </c>
      <c r="F11" s="16" t="n">
        <v>0</v>
      </c>
      <c r="G11" s="16" t="n">
        <v>16.9</v>
      </c>
      <c r="H11" s="17" t="n">
        <v>5307.8</v>
      </c>
      <c r="I11" s="17" t="n">
        <v>790.58</v>
      </c>
      <c r="J11" s="18" t="n">
        <f aca="false">H11+I11</f>
        <v>6098.38</v>
      </c>
      <c r="K11" s="16" t="s">
        <v>70</v>
      </c>
      <c r="L11" s="19" t="n">
        <f aca="false">IF(K11="XCG",J11*Dashboard!$B$46,IF(K11="EUR",J11*Dashboard!$B$47,""))</f>
        <v>3402.89604</v>
      </c>
      <c r="M11" s="17" t="s">
        <v>85</v>
      </c>
      <c r="N11" s="22" t="n">
        <f aca="false">IF(K11="XCG",J11*Dashboard!$B$46,IF(K11="EUR",J11*Dashboard!$B$47,""))</f>
        <v>3402.89604</v>
      </c>
      <c r="O11" s="21" t="s">
        <v>72</v>
      </c>
    </row>
    <row r="12" customFormat="false" ht="15" hidden="false" customHeight="true" outlineLevel="0" collapsed="false">
      <c r="A12" s="16" t="s">
        <v>86</v>
      </c>
      <c r="B12" s="17" t="s">
        <v>67</v>
      </c>
      <c r="C12" s="17" t="s">
        <v>68</v>
      </c>
      <c r="D12" s="17" t="s">
        <v>69</v>
      </c>
      <c r="E12" s="16" t="n">
        <v>105.63</v>
      </c>
      <c r="F12" s="16" t="n">
        <v>0</v>
      </c>
      <c r="G12" s="16" t="n">
        <v>0.87</v>
      </c>
      <c r="H12" s="17" t="n">
        <v>3812.68</v>
      </c>
      <c r="I12" s="17" t="n">
        <v>759.02</v>
      </c>
      <c r="J12" s="18" t="n">
        <f aca="false">H12+I12</f>
        <v>4571.7</v>
      </c>
      <c r="K12" s="16" t="s">
        <v>70</v>
      </c>
      <c r="L12" s="19" t="n">
        <f aca="false">IF(K12="XCG",J12*Dashboard!$B$46,IF(K12="EUR",J12*Dashboard!$B$47,""))</f>
        <v>2551.0086</v>
      </c>
      <c r="M12" s="17" t="s">
        <v>87</v>
      </c>
      <c r="N12" s="20" t="n">
        <f aca="false">IF(K12="XCG",J12*Dashboard!$B$46,IF(K12="EUR",J12*Dashboard!$B$47,""))</f>
        <v>2551.0086</v>
      </c>
      <c r="O12" s="21" t="s">
        <v>72</v>
      </c>
    </row>
    <row r="13" customFormat="false" ht="15" hidden="false" customHeight="true" outlineLevel="0" collapsed="false">
      <c r="A13" s="16" t="s">
        <v>86</v>
      </c>
      <c r="B13" s="17" t="s">
        <v>73</v>
      </c>
      <c r="C13" s="17" t="s">
        <v>68</v>
      </c>
      <c r="D13" s="17" t="s">
        <v>74</v>
      </c>
      <c r="E13" s="16" t="n">
        <v>115.7</v>
      </c>
      <c r="F13" s="16" t="n">
        <v>0</v>
      </c>
      <c r="G13" s="16" t="n">
        <v>9.48</v>
      </c>
      <c r="H13" s="17" t="n">
        <v>5316.12</v>
      </c>
      <c r="I13" s="17" t="n">
        <v>943.44</v>
      </c>
      <c r="J13" s="18" t="n">
        <f aca="false">H13+I13</f>
        <v>6259.56</v>
      </c>
      <c r="K13" s="16" t="s">
        <v>70</v>
      </c>
      <c r="L13" s="19" t="n">
        <f aca="false">IF(K13="XCG",J13*Dashboard!$B$46,IF(K13="EUR",J13*Dashboard!$B$47,""))</f>
        <v>3492.83448</v>
      </c>
      <c r="M13" s="17" t="s">
        <v>88</v>
      </c>
      <c r="N13" s="22" t="n">
        <f aca="false">IF(K13="XCG",J13*Dashboard!$B$46,IF(K13="EUR",J13*Dashboard!$B$47,""))</f>
        <v>3492.83448</v>
      </c>
      <c r="O13" s="21" t="s">
        <v>72</v>
      </c>
    </row>
    <row r="14" customFormat="false" ht="15" hidden="false" customHeight="true" outlineLevel="0" collapsed="false">
      <c r="A14" s="16" t="s">
        <v>86</v>
      </c>
      <c r="B14" s="17" t="s">
        <v>76</v>
      </c>
      <c r="C14" s="17" t="s">
        <v>68</v>
      </c>
      <c r="D14" s="17" t="s">
        <v>74</v>
      </c>
      <c r="E14" s="16" t="n">
        <v>119</v>
      </c>
      <c r="F14" s="16" t="n">
        <v>0</v>
      </c>
      <c r="G14" s="16" t="n">
        <v>5.97</v>
      </c>
      <c r="H14" s="17" t="n">
        <v>4664.51</v>
      </c>
      <c r="I14" s="17" t="n">
        <v>845.78</v>
      </c>
      <c r="J14" s="18" t="n">
        <f aca="false">H14+I14</f>
        <v>5510.29</v>
      </c>
      <c r="K14" s="16" t="s">
        <v>70</v>
      </c>
      <c r="L14" s="19" t="n">
        <f aca="false">IF(K14="XCG",J14*Dashboard!$B$46,IF(K14="EUR",J14*Dashboard!$B$47,""))</f>
        <v>3074.74182</v>
      </c>
      <c r="M14" s="17" t="s">
        <v>89</v>
      </c>
      <c r="N14" s="20" t="n">
        <f aca="false">IF(K14="XCG",J14*Dashboard!$B$46,IF(K14="EUR",J14*Dashboard!$B$47,""))</f>
        <v>3074.74182</v>
      </c>
      <c r="O14" s="21" t="s">
        <v>72</v>
      </c>
    </row>
    <row r="15" customFormat="false" ht="15" hidden="false" customHeight="true" outlineLevel="0" collapsed="false">
      <c r="A15" s="16" t="s">
        <v>86</v>
      </c>
      <c r="B15" s="17" t="s">
        <v>78</v>
      </c>
      <c r="C15" s="17" t="s">
        <v>68</v>
      </c>
      <c r="D15" s="17" t="s">
        <v>79</v>
      </c>
      <c r="E15" s="16" t="n">
        <v>113.28</v>
      </c>
      <c r="F15" s="16" t="n">
        <v>0</v>
      </c>
      <c r="G15" s="16" t="n">
        <v>11.9</v>
      </c>
      <c r="H15" s="17" t="n">
        <v>4657.34</v>
      </c>
      <c r="I15" s="17" t="n">
        <v>791.99</v>
      </c>
      <c r="J15" s="18" t="n">
        <f aca="false">H15+I15</f>
        <v>5449.33</v>
      </c>
      <c r="K15" s="16" t="s">
        <v>70</v>
      </c>
      <c r="L15" s="19" t="n">
        <f aca="false">IF(K15="XCG",J15*Dashboard!$B$46,IF(K15="EUR",J15*Dashboard!$B$47,""))</f>
        <v>3040.72614</v>
      </c>
      <c r="M15" s="17" t="s">
        <v>90</v>
      </c>
      <c r="N15" s="22" t="n">
        <f aca="false">IF(K15="XCG",J15*Dashboard!$B$46,IF(K15="EUR",J15*Dashboard!$B$47,""))</f>
        <v>3040.72614</v>
      </c>
      <c r="O15" s="21" t="s">
        <v>72</v>
      </c>
    </row>
    <row r="16" customFormat="false" ht="15" hidden="false" customHeight="true" outlineLevel="0" collapsed="false">
      <c r="A16" s="16" t="s">
        <v>66</v>
      </c>
      <c r="B16" s="17" t="s">
        <v>91</v>
      </c>
      <c r="C16" s="17" t="s">
        <v>92</v>
      </c>
      <c r="D16" s="17" t="s">
        <v>93</v>
      </c>
      <c r="E16" s="16" t="n">
        <v>85.73</v>
      </c>
      <c r="F16" s="16" t="n">
        <v>0</v>
      </c>
      <c r="G16" s="16" t="n">
        <v>0</v>
      </c>
      <c r="H16" s="17" t="n">
        <v>1155.11</v>
      </c>
      <c r="I16" s="17" t="n">
        <v>309.99</v>
      </c>
      <c r="J16" s="18" t="n">
        <f aca="false">H16+I16</f>
        <v>1465.1</v>
      </c>
      <c r="K16" s="16" t="s">
        <v>94</v>
      </c>
      <c r="L16" s="19" t="n">
        <f aca="false">IF(K16="XCG",J16*Dashboard!$B$46,IF(K16="EUR",J16*Dashboard!$B$47,""))</f>
        <v>1670.214</v>
      </c>
      <c r="M16" s="17" t="s">
        <v>95</v>
      </c>
      <c r="N16" s="20" t="n">
        <f aca="false">IF(K16="XCG",J16*Dashboard!$B$46,IF(K16="EUR",J16*Dashboard!$B$47,""))</f>
        <v>1670.214</v>
      </c>
      <c r="O16" s="21" t="s">
        <v>72</v>
      </c>
    </row>
    <row r="17" customFormat="false" ht="15" hidden="false" customHeight="true" outlineLevel="0" collapsed="false">
      <c r="A17" s="16" t="s">
        <v>66</v>
      </c>
      <c r="B17" s="17" t="s">
        <v>96</v>
      </c>
      <c r="C17" s="17" t="s">
        <v>92</v>
      </c>
      <c r="D17" s="17" t="s">
        <v>97</v>
      </c>
      <c r="E17" s="16" t="n">
        <v>149.67</v>
      </c>
      <c r="F17" s="16" t="n">
        <v>0</v>
      </c>
      <c r="G17" s="16" t="n">
        <v>0</v>
      </c>
      <c r="H17" s="17" t="n">
        <v>2365.46</v>
      </c>
      <c r="I17" s="17" t="n">
        <v>606.26</v>
      </c>
      <c r="J17" s="18" t="n">
        <f aca="false">H17+I17</f>
        <v>2971.72</v>
      </c>
      <c r="K17" s="16" t="s">
        <v>94</v>
      </c>
      <c r="L17" s="19" t="n">
        <f aca="false">IF(K17="XCG",J17*Dashboard!$B$46,IF(K17="EUR",J17*Dashboard!$B$47,""))</f>
        <v>3387.7608</v>
      </c>
      <c r="M17" s="17" t="s">
        <v>98</v>
      </c>
      <c r="N17" s="22" t="n">
        <f aca="false">IF(K17="XCG",J17*Dashboard!$B$46,IF(K17="EUR",J17*Dashboard!$B$47,""))</f>
        <v>3387.7608</v>
      </c>
      <c r="O17" s="21" t="s">
        <v>72</v>
      </c>
    </row>
    <row r="18" customFormat="false" ht="15" hidden="false" customHeight="true" outlineLevel="0" collapsed="false">
      <c r="A18" s="16" t="s">
        <v>66</v>
      </c>
      <c r="B18" s="17" t="s">
        <v>99</v>
      </c>
      <c r="C18" s="17" t="s">
        <v>92</v>
      </c>
      <c r="D18" s="17" t="s">
        <v>100</v>
      </c>
      <c r="E18" s="16" t="n">
        <v>151.67</v>
      </c>
      <c r="F18" s="16" t="n">
        <v>0</v>
      </c>
      <c r="G18" s="16" t="n">
        <v>0</v>
      </c>
      <c r="H18" s="17" t="n">
        <v>2407.97</v>
      </c>
      <c r="I18" s="17" t="n">
        <v>646.25</v>
      </c>
      <c r="J18" s="18" t="n">
        <f aca="false">H18+I18</f>
        <v>3054.22</v>
      </c>
      <c r="K18" s="16" t="s">
        <v>94</v>
      </c>
      <c r="L18" s="19" t="n">
        <f aca="false">IF(K18="XCG",J18*Dashboard!$B$46,IF(K18="EUR",J18*Dashboard!$B$47,""))</f>
        <v>3481.8108</v>
      </c>
      <c r="M18" s="17" t="s">
        <v>101</v>
      </c>
      <c r="N18" s="20" t="n">
        <f aca="false">IF(K18="XCG",J18*Dashboard!$B$46,IF(K18="EUR",J18*Dashboard!$B$47,""))</f>
        <v>3481.8108</v>
      </c>
      <c r="O18" s="21" t="s">
        <v>72</v>
      </c>
    </row>
    <row r="19" customFormat="false" ht="15" hidden="false" customHeight="true" outlineLevel="0" collapsed="false">
      <c r="A19" s="16" t="s">
        <v>66</v>
      </c>
      <c r="B19" s="17" t="s">
        <v>102</v>
      </c>
      <c r="C19" s="17" t="s">
        <v>92</v>
      </c>
      <c r="D19" s="17" t="s">
        <v>74</v>
      </c>
      <c r="E19" s="16" t="n">
        <v>133.52</v>
      </c>
      <c r="F19" s="16" t="n">
        <v>0</v>
      </c>
      <c r="G19" s="16" t="n">
        <v>0</v>
      </c>
      <c r="H19" s="17" t="n">
        <v>1759.22</v>
      </c>
      <c r="I19" s="17" t="n">
        <v>450.87</v>
      </c>
      <c r="J19" s="18" t="n">
        <f aca="false">H19+I19</f>
        <v>2210.09</v>
      </c>
      <c r="K19" s="16" t="s">
        <v>94</v>
      </c>
      <c r="L19" s="19" t="n">
        <f aca="false">IF(K19="XCG",J19*Dashboard!$B$46,IF(K19="EUR",J19*Dashboard!$B$47,""))</f>
        <v>2519.5026</v>
      </c>
      <c r="M19" s="17" t="s">
        <v>103</v>
      </c>
      <c r="N19" s="22" t="n">
        <f aca="false">IF(K19="XCG",J19*Dashboard!$B$46,IF(K19="EUR",J19*Dashboard!$B$47,""))</f>
        <v>2519.5026</v>
      </c>
      <c r="O19" s="21" t="s">
        <v>72</v>
      </c>
    </row>
    <row r="20" customFormat="false" ht="15" hidden="false" customHeight="true" outlineLevel="0" collapsed="false">
      <c r="A20" s="16" t="s">
        <v>66</v>
      </c>
      <c r="B20" s="17" t="s">
        <v>104</v>
      </c>
      <c r="C20" s="17" t="s">
        <v>92</v>
      </c>
      <c r="D20" s="17" t="s">
        <v>97</v>
      </c>
      <c r="E20" s="16" t="n">
        <v>145.48</v>
      </c>
      <c r="F20" s="16" t="n">
        <v>5.43</v>
      </c>
      <c r="G20" s="16" t="n">
        <v>0</v>
      </c>
      <c r="H20" s="17" t="n">
        <v>1745.43</v>
      </c>
      <c r="I20" s="17" t="n">
        <v>460.3</v>
      </c>
      <c r="J20" s="18" t="n">
        <f aca="false">H20+I20</f>
        <v>2205.73</v>
      </c>
      <c r="K20" s="16" t="s">
        <v>94</v>
      </c>
      <c r="L20" s="19" t="n">
        <f aca="false">IF(K20="XCG",J20*Dashboard!$B$46,IF(K20="EUR",J20*Dashboard!$B$47,""))</f>
        <v>2514.5322</v>
      </c>
      <c r="M20" s="17" t="s">
        <v>105</v>
      </c>
      <c r="N20" s="20" t="n">
        <f aca="false">IF(K20="XCG",J20*Dashboard!$B$46,IF(K20="EUR",J20*Dashboard!$B$47,""))</f>
        <v>2514.5322</v>
      </c>
      <c r="O20" s="21" t="s">
        <v>72</v>
      </c>
    </row>
    <row r="21" customFormat="false" ht="15" hidden="false" customHeight="true" outlineLevel="0" collapsed="false">
      <c r="A21" s="16" t="s">
        <v>66</v>
      </c>
      <c r="B21" s="17" t="s">
        <v>106</v>
      </c>
      <c r="C21" s="17" t="s">
        <v>92</v>
      </c>
      <c r="D21" s="17" t="s">
        <v>69</v>
      </c>
      <c r="E21" s="16" t="n">
        <v>137.42</v>
      </c>
      <c r="F21" s="16" t="n">
        <v>13.5</v>
      </c>
      <c r="G21" s="16" t="n">
        <v>0</v>
      </c>
      <c r="H21" s="17" t="n">
        <v>1672.6</v>
      </c>
      <c r="I21" s="17" t="n">
        <v>408.41</v>
      </c>
      <c r="J21" s="18" t="n">
        <f aca="false">H21+I21</f>
        <v>2081.01</v>
      </c>
      <c r="K21" s="16" t="s">
        <v>94</v>
      </c>
      <c r="L21" s="19" t="n">
        <f aca="false">IF(K21="XCG",J21*Dashboard!$B$46,IF(K21="EUR",J21*Dashboard!$B$47,""))</f>
        <v>2372.3514</v>
      </c>
      <c r="M21" s="17" t="s">
        <v>107</v>
      </c>
      <c r="N21" s="22" t="n">
        <f aca="false">IF(K21="XCG",J21*Dashboard!$B$46,IF(K21="EUR",J21*Dashboard!$B$47,""))</f>
        <v>2372.3514</v>
      </c>
      <c r="O21" s="21" t="s">
        <v>72</v>
      </c>
    </row>
    <row r="22" customFormat="false" ht="15" hidden="false" customHeight="true" outlineLevel="0" collapsed="false">
      <c r="A22" s="16" t="s">
        <v>66</v>
      </c>
      <c r="B22" s="17" t="s">
        <v>108</v>
      </c>
      <c r="C22" s="17" t="s">
        <v>92</v>
      </c>
      <c r="D22" s="17" t="s">
        <v>93</v>
      </c>
      <c r="E22" s="16" t="n">
        <v>218.67</v>
      </c>
      <c r="F22" s="16" t="n">
        <v>38.25</v>
      </c>
      <c r="G22" s="16" t="n">
        <v>28.75</v>
      </c>
      <c r="H22" s="17" t="n">
        <v>3359.1</v>
      </c>
      <c r="I22" s="17" t="n">
        <v>803.52</v>
      </c>
      <c r="J22" s="18" t="n">
        <f aca="false">H22+I22</f>
        <v>4162.62</v>
      </c>
      <c r="K22" s="16" t="s">
        <v>94</v>
      </c>
      <c r="L22" s="19" t="n">
        <f aca="false">IF(K22="XCG",J22*Dashboard!$B$46,IF(K22="EUR",J22*Dashboard!$B$47,""))</f>
        <v>4745.3868</v>
      </c>
      <c r="M22" s="17" t="s">
        <v>109</v>
      </c>
      <c r="N22" s="20" t="n">
        <f aca="false">IF(K22="XCG",J22*Dashboard!$B$46,IF(K22="EUR",J22*Dashboard!$B$47,""))</f>
        <v>4745.3868</v>
      </c>
      <c r="O22" s="21" t="s">
        <v>72</v>
      </c>
    </row>
    <row r="23" customFormat="false" ht="15" hidden="false" customHeight="true" outlineLevel="0" collapsed="false">
      <c r="A23" s="16" t="s">
        <v>81</v>
      </c>
      <c r="B23" s="17" t="s">
        <v>91</v>
      </c>
      <c r="C23" s="17" t="s">
        <v>92</v>
      </c>
      <c r="D23" s="17" t="s">
        <v>93</v>
      </c>
      <c r="E23" s="16" t="n">
        <v>95.67</v>
      </c>
      <c r="F23" s="16" t="n">
        <v>0</v>
      </c>
      <c r="G23" s="16" t="n">
        <v>0</v>
      </c>
      <c r="H23" s="17" t="n">
        <v>1306.43</v>
      </c>
      <c r="I23" s="17" t="n">
        <v>429.14</v>
      </c>
      <c r="J23" s="18" t="n">
        <f aca="false">H23+I23</f>
        <v>1735.57</v>
      </c>
      <c r="K23" s="16" t="s">
        <v>94</v>
      </c>
      <c r="L23" s="19" t="n">
        <f aca="false">IF(K23="XCG",J23*Dashboard!$B$46,IF(K23="EUR",J23*Dashboard!$B$47,""))</f>
        <v>1978.5498</v>
      </c>
      <c r="M23" s="17" t="s">
        <v>110</v>
      </c>
      <c r="N23" s="22" t="n">
        <f aca="false">IF(K23="XCG",J23*Dashboard!$B$46,IF(K23="EUR",J23*Dashboard!$B$47,""))</f>
        <v>1978.5498</v>
      </c>
      <c r="O23" s="21" t="s">
        <v>72</v>
      </c>
    </row>
    <row r="24" customFormat="false" ht="15" hidden="false" customHeight="true" outlineLevel="0" collapsed="false">
      <c r="A24" s="16" t="s">
        <v>81</v>
      </c>
      <c r="B24" s="17" t="s">
        <v>102</v>
      </c>
      <c r="C24" s="17" t="s">
        <v>92</v>
      </c>
      <c r="D24" s="17" t="s">
        <v>74</v>
      </c>
      <c r="E24" s="16" t="n">
        <v>123.67</v>
      </c>
      <c r="F24" s="16" t="n">
        <v>0</v>
      </c>
      <c r="G24" s="16" t="n">
        <v>0</v>
      </c>
      <c r="H24" s="17" t="n">
        <v>1480.33</v>
      </c>
      <c r="I24" s="17" t="n">
        <v>379.38</v>
      </c>
      <c r="J24" s="18" t="n">
        <f aca="false">H24+I24</f>
        <v>1859.71</v>
      </c>
      <c r="K24" s="16" t="s">
        <v>94</v>
      </c>
      <c r="L24" s="19" t="n">
        <f aca="false">IF(K24="XCG",J24*Dashboard!$B$46,IF(K24="EUR",J24*Dashboard!$B$47,""))</f>
        <v>2120.0694</v>
      </c>
      <c r="M24" s="17" t="s">
        <v>111</v>
      </c>
      <c r="N24" s="20" t="n">
        <f aca="false">IF(K24="XCG",J24*Dashboard!$B$46,IF(K24="EUR",J24*Dashboard!$B$47,""))</f>
        <v>2120.0694</v>
      </c>
      <c r="O24" s="21" t="s">
        <v>72</v>
      </c>
    </row>
    <row r="25" customFormat="false" ht="15" hidden="false" customHeight="true" outlineLevel="0" collapsed="false">
      <c r="A25" s="16" t="s">
        <v>81</v>
      </c>
      <c r="B25" s="17" t="s">
        <v>104</v>
      </c>
      <c r="C25" s="17" t="s">
        <v>92</v>
      </c>
      <c r="D25" s="17" t="s">
        <v>97</v>
      </c>
      <c r="E25" s="16" t="n">
        <v>136.6</v>
      </c>
      <c r="F25" s="16" t="n">
        <v>5.93</v>
      </c>
      <c r="G25" s="16" t="n">
        <v>0</v>
      </c>
      <c r="H25" s="17" t="n">
        <v>1641.43</v>
      </c>
      <c r="I25" s="17" t="n">
        <v>431.63</v>
      </c>
      <c r="J25" s="18" t="n">
        <f aca="false">H25+I25</f>
        <v>2073.06</v>
      </c>
      <c r="K25" s="16" t="s">
        <v>94</v>
      </c>
      <c r="L25" s="19" t="n">
        <f aca="false">IF(K25="XCG",J25*Dashboard!$B$46,IF(K25="EUR",J25*Dashboard!$B$47,""))</f>
        <v>2363.2884</v>
      </c>
      <c r="M25" s="17" t="s">
        <v>112</v>
      </c>
      <c r="N25" s="22" t="n">
        <f aca="false">IF(K25="XCG",J25*Dashboard!$B$46,IF(K25="EUR",J25*Dashboard!$B$47,""))</f>
        <v>2363.2884</v>
      </c>
      <c r="O25" s="21" t="s">
        <v>72</v>
      </c>
    </row>
    <row r="26" customFormat="false" ht="34.5" hidden="false" customHeight="true" outlineLevel="0" collapsed="false">
      <c r="A26" s="16" t="s">
        <v>81</v>
      </c>
      <c r="B26" s="17" t="s">
        <v>108</v>
      </c>
      <c r="C26" s="17" t="s">
        <v>92</v>
      </c>
      <c r="D26" s="17" t="s">
        <v>93</v>
      </c>
      <c r="E26" s="16" t="n">
        <v>151.67</v>
      </c>
      <c r="F26" s="16" t="n">
        <v>0</v>
      </c>
      <c r="G26" s="16" t="n">
        <v>0</v>
      </c>
      <c r="H26" s="17" t="n">
        <v>2100</v>
      </c>
      <c r="I26" s="17" t="n">
        <v>538.2</v>
      </c>
      <c r="J26" s="18" t="n">
        <f aca="false">H26+I26</f>
        <v>2638.2</v>
      </c>
      <c r="K26" s="16" t="s">
        <v>94</v>
      </c>
      <c r="L26" s="19" t="n">
        <f aca="false">IF(K26="XCG",J26*Dashboard!$B$46,IF(K26="EUR",J26*Dashboard!$B$47,""))</f>
        <v>3007.548</v>
      </c>
      <c r="M26" s="17" t="s">
        <v>113</v>
      </c>
      <c r="N26" s="20" t="n">
        <f aca="false">IF(K26="XCG",J26*Dashboard!$B$46,IF(K26="EUR",J26*Dashboard!$B$47,""))</f>
        <v>3007.548</v>
      </c>
      <c r="O26" s="21" t="s">
        <v>72</v>
      </c>
    </row>
    <row r="27" customFormat="false" ht="34.5" hidden="false" customHeight="true" outlineLevel="0" collapsed="false">
      <c r="A27" s="16" t="s">
        <v>81</v>
      </c>
      <c r="B27" s="17" t="s">
        <v>99</v>
      </c>
      <c r="C27" s="17" t="s">
        <v>92</v>
      </c>
      <c r="D27" s="17" t="s">
        <v>100</v>
      </c>
      <c r="E27" s="16" t="n">
        <v>151.67</v>
      </c>
      <c r="F27" s="16" t="n">
        <v>0</v>
      </c>
      <c r="G27" s="16" t="n">
        <v>0</v>
      </c>
      <c r="H27" s="17" t="n">
        <v>3362.94</v>
      </c>
      <c r="I27" s="17" t="n">
        <v>1084.05</v>
      </c>
      <c r="J27" s="18" t="n">
        <f aca="false">H27+I27</f>
        <v>4446.99</v>
      </c>
      <c r="K27" s="16" t="s">
        <v>94</v>
      </c>
      <c r="L27" s="19" t="n">
        <f aca="false">IF(K27="XCG",J27*Dashboard!$B$46,IF(K27="EUR",J27*Dashboard!$B$47,""))</f>
        <v>5069.5686</v>
      </c>
      <c r="M27" s="17" t="s">
        <v>114</v>
      </c>
      <c r="N27" s="22" t="n">
        <f aca="false">IF(K27="XCG",J27*Dashboard!$B$46,IF(K27="EUR",J27*Dashboard!$B$47,""))</f>
        <v>5069.5686</v>
      </c>
      <c r="O27" s="21" t="s">
        <v>72</v>
      </c>
    </row>
    <row r="28" customFormat="false" ht="34.5" hidden="false" customHeight="true" outlineLevel="0" collapsed="false">
      <c r="A28" s="16" t="s">
        <v>81</v>
      </c>
      <c r="B28" s="17" t="s">
        <v>96</v>
      </c>
      <c r="C28" s="17" t="s">
        <v>92</v>
      </c>
      <c r="D28" s="17" t="s">
        <v>97</v>
      </c>
      <c r="E28" s="16" t="n">
        <v>151.67</v>
      </c>
      <c r="F28" s="16" t="n">
        <v>0</v>
      </c>
      <c r="G28" s="16" t="n">
        <v>0</v>
      </c>
      <c r="H28" s="17" t="n">
        <v>3501.9</v>
      </c>
      <c r="I28" s="17" t="n">
        <v>1202.58</v>
      </c>
      <c r="J28" s="18" t="n">
        <f aca="false">H28+I28</f>
        <v>4704.48</v>
      </c>
      <c r="K28" s="16" t="s">
        <v>94</v>
      </c>
      <c r="L28" s="19" t="n">
        <f aca="false">IF(K28="XCG",J28*Dashboard!$B$46,IF(K28="EUR",J28*Dashboard!$B$47,""))</f>
        <v>5363.1072</v>
      </c>
      <c r="M28" s="17" t="s">
        <v>115</v>
      </c>
      <c r="N28" s="20" t="n">
        <f aca="false">IF(K28="XCG",J28*Dashboard!$B$46,IF(K28="EUR",J28*Dashboard!$B$47,""))</f>
        <v>5363.1072</v>
      </c>
      <c r="O28" s="21" t="s">
        <v>72</v>
      </c>
    </row>
    <row r="29" customFormat="false" ht="34.5" hidden="false" customHeight="true" outlineLevel="0" collapsed="false">
      <c r="A29" s="16" t="s">
        <v>81</v>
      </c>
      <c r="B29" s="17" t="s">
        <v>106</v>
      </c>
      <c r="C29" s="17" t="s">
        <v>92</v>
      </c>
      <c r="D29" s="17" t="s">
        <v>69</v>
      </c>
      <c r="E29" s="16" t="n">
        <v>169.17</v>
      </c>
      <c r="F29" s="16" t="n">
        <v>17.5</v>
      </c>
      <c r="G29" s="16" t="n">
        <v>0</v>
      </c>
      <c r="H29" s="17" t="n">
        <v>2603.18</v>
      </c>
      <c r="I29" s="17" t="n">
        <v>673.46</v>
      </c>
      <c r="J29" s="18" t="n">
        <f aca="false">H29+I29</f>
        <v>3276.64</v>
      </c>
      <c r="K29" s="16" t="s">
        <v>94</v>
      </c>
      <c r="L29" s="19" t="n">
        <f aca="false">IF(K29="XCG",J29*Dashboard!$B$46,IF(K29="EUR",J29*Dashboard!$B$47,""))</f>
        <v>3735.3696</v>
      </c>
      <c r="M29" s="17" t="s">
        <v>116</v>
      </c>
      <c r="N29" s="22" t="n">
        <f aca="false">IF(K29="XCG",J29*Dashboard!$B$46,IF(K29="EUR",J29*Dashboard!$B$47,""))</f>
        <v>3735.3696</v>
      </c>
      <c r="O29" s="21" t="s">
        <v>72</v>
      </c>
    </row>
    <row r="30" customFormat="false" ht="45.75" hidden="false" customHeight="true" outlineLevel="0" collapsed="false">
      <c r="A30" s="16" t="s">
        <v>86</v>
      </c>
      <c r="B30" s="17" t="s">
        <v>91</v>
      </c>
      <c r="C30" s="17" t="s">
        <v>92</v>
      </c>
      <c r="D30" s="17" t="s">
        <v>93</v>
      </c>
      <c r="E30" s="16" t="n">
        <v>96.52</v>
      </c>
      <c r="F30" s="16" t="n">
        <v>0</v>
      </c>
      <c r="G30" s="16" t="n">
        <v>0</v>
      </c>
      <c r="H30" s="17" t="n">
        <v>1308.38</v>
      </c>
      <c r="I30" s="17" t="n">
        <v>353.78</v>
      </c>
      <c r="J30" s="18" t="n">
        <f aca="false">H30+I30</f>
        <v>1662.16</v>
      </c>
      <c r="K30" s="16" t="s">
        <v>94</v>
      </c>
      <c r="L30" s="19" t="n">
        <f aca="false">IF(K30="XCG",J30*Dashboard!$B$46,IF(K30="EUR",J30*Dashboard!$B$47,""))</f>
        <v>1894.8624</v>
      </c>
      <c r="M30" s="17" t="s">
        <v>117</v>
      </c>
      <c r="N30" s="20" t="n">
        <f aca="false">IF(K30="XCG",J30*Dashboard!$B$46,IF(K30="EUR",J30*Dashboard!$B$47,""))</f>
        <v>1894.8624</v>
      </c>
      <c r="O30" s="21" t="s">
        <v>72</v>
      </c>
    </row>
    <row r="31" customFormat="false" ht="45.75" hidden="false" customHeight="true" outlineLevel="0" collapsed="false">
      <c r="A31" s="16" t="s">
        <v>86</v>
      </c>
      <c r="B31" s="17" t="s">
        <v>96</v>
      </c>
      <c r="C31" s="17" t="s">
        <v>92</v>
      </c>
      <c r="D31" s="17" t="s">
        <v>97</v>
      </c>
      <c r="E31" s="16" t="n">
        <v>96.52</v>
      </c>
      <c r="F31" s="16" t="n">
        <v>0</v>
      </c>
      <c r="G31" s="16" t="n">
        <v>0</v>
      </c>
      <c r="H31" s="17" t="n">
        <v>1854.6</v>
      </c>
      <c r="I31" s="17" t="n">
        <v>533.42</v>
      </c>
      <c r="J31" s="18" t="n">
        <f aca="false">H31+I31</f>
        <v>2388.02</v>
      </c>
      <c r="K31" s="16" t="s">
        <v>94</v>
      </c>
      <c r="L31" s="19" t="n">
        <f aca="false">IF(K31="XCG",J31*Dashboard!$B$46,IF(K31="EUR",J31*Dashboard!$B$47,""))</f>
        <v>2722.3428</v>
      </c>
      <c r="M31" s="17" t="s">
        <v>118</v>
      </c>
      <c r="N31" s="22" t="n">
        <f aca="false">IF(K31="XCG",J31*Dashboard!$B$46,IF(K31="EUR",J31*Dashboard!$B$47,""))</f>
        <v>2722.3428</v>
      </c>
      <c r="O31" s="21" t="s">
        <v>72</v>
      </c>
    </row>
    <row r="32" customFormat="false" ht="45.75" hidden="false" customHeight="true" outlineLevel="0" collapsed="false">
      <c r="A32" s="16" t="s">
        <v>86</v>
      </c>
      <c r="B32" s="17" t="s">
        <v>99</v>
      </c>
      <c r="C32" s="17" t="s">
        <v>92</v>
      </c>
      <c r="D32" s="17" t="s">
        <v>100</v>
      </c>
      <c r="E32" s="16" t="n">
        <v>96.52</v>
      </c>
      <c r="F32" s="16" t="n">
        <v>0</v>
      </c>
      <c r="G32" s="16" t="n">
        <v>0</v>
      </c>
      <c r="H32" s="17" t="n">
        <v>1731.83</v>
      </c>
      <c r="I32" s="17" t="n">
        <v>495.88</v>
      </c>
      <c r="J32" s="18" t="n">
        <f aca="false">H32+I32</f>
        <v>2227.71</v>
      </c>
      <c r="K32" s="16" t="s">
        <v>94</v>
      </c>
      <c r="L32" s="19" t="n">
        <f aca="false">IF(K32="XCG",J32*Dashboard!$B$46,IF(K32="EUR",J32*Dashboard!$B$47,""))</f>
        <v>2539.5894</v>
      </c>
      <c r="M32" s="17" t="s">
        <v>119</v>
      </c>
      <c r="N32" s="20" t="n">
        <f aca="false">IF(K32="XCG",J32*Dashboard!$B$46,IF(K32="EUR",J32*Dashboard!$B$47,""))</f>
        <v>2539.5894</v>
      </c>
      <c r="O32" s="21" t="s">
        <v>72</v>
      </c>
    </row>
    <row r="33" customFormat="false" ht="45.75" hidden="false" customHeight="true" outlineLevel="0" collapsed="false">
      <c r="A33" s="16" t="s">
        <v>86</v>
      </c>
      <c r="B33" s="17" t="s">
        <v>102</v>
      </c>
      <c r="C33" s="17" t="s">
        <v>92</v>
      </c>
      <c r="D33" s="17" t="s">
        <v>74</v>
      </c>
      <c r="E33" s="16" t="n">
        <v>96.52</v>
      </c>
      <c r="F33" s="16" t="n">
        <v>0</v>
      </c>
      <c r="G33" s="16" t="n">
        <v>0</v>
      </c>
      <c r="H33" s="17" t="n">
        <v>1442.17</v>
      </c>
      <c r="I33" s="17" t="n">
        <v>372.51</v>
      </c>
      <c r="J33" s="18" t="n">
        <f aca="false">H33+I33</f>
        <v>1814.68</v>
      </c>
      <c r="K33" s="16" t="s">
        <v>94</v>
      </c>
      <c r="L33" s="19" t="n">
        <f aca="false">IF(K33="XCG",J33*Dashboard!$B$46,IF(K33="EUR",J33*Dashboard!$B$47,""))</f>
        <v>2068.7352</v>
      </c>
      <c r="M33" s="17" t="s">
        <v>120</v>
      </c>
      <c r="N33" s="22" t="n">
        <f aca="false">IF(K33="XCG",J33*Dashboard!$B$46,IF(K33="EUR",J33*Dashboard!$B$47,""))</f>
        <v>2068.7352</v>
      </c>
      <c r="O33" s="21" t="s">
        <v>72</v>
      </c>
    </row>
    <row r="34" customFormat="false" ht="45.75" hidden="false" customHeight="true" outlineLevel="0" collapsed="false">
      <c r="A34" s="16" t="s">
        <v>86</v>
      </c>
      <c r="B34" s="17" t="s">
        <v>104</v>
      </c>
      <c r="C34" s="17" t="s">
        <v>92</v>
      </c>
      <c r="D34" s="17" t="s">
        <v>97</v>
      </c>
      <c r="E34" s="16" t="n">
        <v>96.52</v>
      </c>
      <c r="F34" s="16" t="n">
        <v>0</v>
      </c>
      <c r="G34" s="16" t="n">
        <v>0</v>
      </c>
      <c r="H34" s="17" t="n">
        <v>1147.29</v>
      </c>
      <c r="I34" s="17" t="n">
        <v>309.22</v>
      </c>
      <c r="J34" s="18" t="n">
        <f aca="false">H34+I34</f>
        <v>1456.51</v>
      </c>
      <c r="K34" s="16" t="s">
        <v>94</v>
      </c>
      <c r="L34" s="19" t="n">
        <f aca="false">IF(K34="XCG",J34*Dashboard!$B$46,IF(K34="EUR",J34*Dashboard!$B$47,""))</f>
        <v>1660.4214</v>
      </c>
      <c r="M34" s="17" t="s">
        <v>121</v>
      </c>
      <c r="N34" s="20" t="n">
        <f aca="false">IF(K34="XCG",J34*Dashboard!$B$46,IF(K34="EUR",J34*Dashboard!$B$47,""))</f>
        <v>1660.4214</v>
      </c>
      <c r="O34" s="21" t="s">
        <v>72</v>
      </c>
    </row>
    <row r="35" customFormat="false" ht="45.75" hidden="false" customHeight="true" outlineLevel="0" collapsed="false">
      <c r="A35" s="16" t="s">
        <v>86</v>
      </c>
      <c r="B35" s="17" t="s">
        <v>106</v>
      </c>
      <c r="C35" s="17" t="s">
        <v>92</v>
      </c>
      <c r="D35" s="17" t="s">
        <v>69</v>
      </c>
      <c r="E35" s="16" t="n">
        <v>106.52</v>
      </c>
      <c r="F35" s="16" t="n">
        <v>10</v>
      </c>
      <c r="G35" s="16" t="n">
        <v>0</v>
      </c>
      <c r="H35" s="17" t="n">
        <v>1426.27</v>
      </c>
      <c r="I35" s="17" t="n">
        <v>353.64</v>
      </c>
      <c r="J35" s="18" t="n">
        <f aca="false">H35+I35</f>
        <v>1779.91</v>
      </c>
      <c r="K35" s="16" t="s">
        <v>94</v>
      </c>
      <c r="L35" s="19" t="n">
        <f aca="false">IF(K35="XCG",J35*Dashboard!$B$46,IF(K35="EUR",J35*Dashboard!$B$47,""))</f>
        <v>2029.0974</v>
      </c>
      <c r="M35" s="17" t="s">
        <v>122</v>
      </c>
      <c r="N35" s="22" t="n">
        <f aca="false">IF(K35="XCG",J35*Dashboard!$B$46,IF(K35="EUR",J35*Dashboard!$B$47,""))</f>
        <v>2029.0974</v>
      </c>
      <c r="O35" s="21" t="s">
        <v>72</v>
      </c>
    </row>
    <row r="36" customFormat="false" ht="45.75" hidden="false" customHeight="true" outlineLevel="0" collapsed="false">
      <c r="A36" s="16" t="s">
        <v>86</v>
      </c>
      <c r="B36" s="17" t="s">
        <v>108</v>
      </c>
      <c r="C36" s="17" t="s">
        <v>92</v>
      </c>
      <c r="D36" s="17" t="s">
        <v>93</v>
      </c>
      <c r="E36" s="16" t="n">
        <v>96.52</v>
      </c>
      <c r="F36" s="16" t="n">
        <v>0</v>
      </c>
      <c r="G36" s="16" t="n">
        <v>0</v>
      </c>
      <c r="H36" s="17" t="n">
        <v>1336.39</v>
      </c>
      <c r="I36" s="17" t="n">
        <v>345.19</v>
      </c>
      <c r="J36" s="18" t="n">
        <f aca="false">H36+I36</f>
        <v>1681.58</v>
      </c>
      <c r="K36" s="16" t="s">
        <v>94</v>
      </c>
      <c r="L36" s="19" t="n">
        <f aca="false">IF(K36="XCG",J36*Dashboard!$B$46,IF(K36="EUR",J36*Dashboard!$B$47,""))</f>
        <v>1917.0012</v>
      </c>
      <c r="M36" s="17" t="s">
        <v>123</v>
      </c>
      <c r="N36" s="20" t="n">
        <f aca="false">IF(K36="XCG",J36*Dashboard!$B$46,IF(K36="EUR",J36*Dashboard!$B$47,""))</f>
        <v>1917.0012</v>
      </c>
      <c r="O36" s="21" t="s">
        <v>72</v>
      </c>
    </row>
    <row r="37" customFormat="false" ht="57" hidden="false" customHeight="true" outlineLevel="0" collapsed="false">
      <c r="A37" s="16" t="s">
        <v>124</v>
      </c>
      <c r="B37" s="17" t="s">
        <v>91</v>
      </c>
      <c r="C37" s="17" t="s">
        <v>92</v>
      </c>
      <c r="D37" s="17" t="s">
        <v>93</v>
      </c>
      <c r="E37" s="16" t="n">
        <v>0</v>
      </c>
      <c r="F37" s="16" t="n">
        <v>0</v>
      </c>
      <c r="G37" s="16" t="n">
        <v>0</v>
      </c>
      <c r="H37" s="17" t="n">
        <v>2095.35</v>
      </c>
      <c r="I37" s="17" t="n">
        <v>729.5</v>
      </c>
      <c r="J37" s="18" t="n">
        <f aca="false">H37+I37</f>
        <v>2824.85</v>
      </c>
      <c r="K37" s="16" t="s">
        <v>94</v>
      </c>
      <c r="L37" s="23" t="n">
        <f aca="false">IF(K37="XCG",J37*Dashboard!$B$46,IF(K37="EUR",J37*Dashboard!$B$47,""))</f>
        <v>3220.329</v>
      </c>
      <c r="M37" s="17" t="s">
        <v>125</v>
      </c>
      <c r="O37" s="21" t="s">
        <v>72</v>
      </c>
    </row>
    <row r="38" customFormat="false" ht="34.5" hidden="false" customHeight="true" outlineLevel="0" collapsed="false">
      <c r="A38" s="16" t="s">
        <v>124</v>
      </c>
      <c r="B38" s="17" t="s">
        <v>96</v>
      </c>
      <c r="C38" s="17" t="s">
        <v>92</v>
      </c>
      <c r="D38" s="17" t="s">
        <v>97</v>
      </c>
      <c r="E38" s="16" t="n">
        <v>190.2</v>
      </c>
      <c r="F38" s="16" t="n">
        <v>23.53</v>
      </c>
      <c r="G38" s="16" t="n">
        <v>15</v>
      </c>
      <c r="H38" s="17" t="n">
        <v>3053.74</v>
      </c>
      <c r="I38" s="17" t="n">
        <v>800</v>
      </c>
      <c r="J38" s="18" t="n">
        <f aca="false">H38+I38</f>
        <v>3853.74</v>
      </c>
      <c r="K38" s="16" t="s">
        <v>94</v>
      </c>
      <c r="L38" s="23" t="n">
        <f aca="false">IF(K38="XCG",J38*Dashboard!$B$46,IF(K38="EUR",J38*Dashboard!$B$47,""))</f>
        <v>4393.2636</v>
      </c>
      <c r="M38" s="17" t="s">
        <v>126</v>
      </c>
      <c r="O38" s="21" t="s">
        <v>72</v>
      </c>
    </row>
    <row r="39" customFormat="false" ht="34.5" hidden="false" customHeight="true" outlineLevel="0" collapsed="false">
      <c r="A39" s="16" t="s">
        <v>124</v>
      </c>
      <c r="B39" s="17" t="s">
        <v>99</v>
      </c>
      <c r="C39" s="17" t="s">
        <v>92</v>
      </c>
      <c r="D39" s="17" t="s">
        <v>100</v>
      </c>
      <c r="E39" s="16" t="n">
        <v>184.67</v>
      </c>
      <c r="F39" s="16" t="n">
        <v>22.75</v>
      </c>
      <c r="G39" s="16" t="n">
        <v>10.25</v>
      </c>
      <c r="H39" s="17" t="n">
        <v>2736.76</v>
      </c>
      <c r="I39" s="17" t="n">
        <v>761.86</v>
      </c>
      <c r="J39" s="18" t="n">
        <f aca="false">H39+I39</f>
        <v>3498.62</v>
      </c>
      <c r="K39" s="16" t="s">
        <v>94</v>
      </c>
      <c r="L39" s="23" t="n">
        <f aca="false">IF(K39="XCG",J39*Dashboard!$B$46,IF(K39="EUR",J39*Dashboard!$B$47,""))</f>
        <v>3988.4268</v>
      </c>
      <c r="M39" s="17" t="s">
        <v>127</v>
      </c>
      <c r="O39" s="21" t="s">
        <v>72</v>
      </c>
    </row>
    <row r="40" customFormat="false" ht="34.5" hidden="false" customHeight="true" outlineLevel="0" collapsed="false">
      <c r="A40" s="16" t="s">
        <v>124</v>
      </c>
      <c r="B40" s="17" t="s">
        <v>102</v>
      </c>
      <c r="C40" s="17" t="s">
        <v>92</v>
      </c>
      <c r="D40" s="17" t="s">
        <v>74</v>
      </c>
      <c r="E40" s="16" t="n">
        <v>133.52</v>
      </c>
      <c r="F40" s="16" t="n">
        <v>0</v>
      </c>
      <c r="G40" s="16" t="n">
        <v>0</v>
      </c>
      <c r="H40" s="17" t="n">
        <v>1759.22</v>
      </c>
      <c r="I40" s="17" t="n">
        <v>450.87</v>
      </c>
      <c r="J40" s="18" t="n">
        <f aca="false">H40+I40</f>
        <v>2210.09</v>
      </c>
      <c r="K40" s="16" t="s">
        <v>94</v>
      </c>
      <c r="L40" s="23" t="n">
        <f aca="false">IF(K40="XCG",J40*Dashboard!$B$46,IF(K40="EUR",J40*Dashboard!$B$47,""))</f>
        <v>2519.5026</v>
      </c>
      <c r="M40" s="17" t="s">
        <v>128</v>
      </c>
      <c r="O40" s="21" t="s">
        <v>72</v>
      </c>
    </row>
    <row r="41" customFormat="false" ht="23.25" hidden="false" customHeight="true" outlineLevel="0" collapsed="false">
      <c r="A41" s="16" t="s">
        <v>124</v>
      </c>
      <c r="B41" s="17" t="s">
        <v>104</v>
      </c>
      <c r="C41" s="17" t="s">
        <v>92</v>
      </c>
      <c r="D41" s="17" t="s">
        <v>97</v>
      </c>
      <c r="E41" s="16" t="n">
        <v>145.48</v>
      </c>
      <c r="F41" s="16" t="n">
        <v>5.43</v>
      </c>
      <c r="G41" s="16" t="n">
        <v>0</v>
      </c>
      <c r="H41" s="17" t="n">
        <v>1745.43</v>
      </c>
      <c r="I41" s="17" t="n">
        <v>460.3</v>
      </c>
      <c r="J41" s="18" t="n">
        <f aca="false">H41+I41</f>
        <v>2205.73</v>
      </c>
      <c r="K41" s="16" t="s">
        <v>94</v>
      </c>
      <c r="L41" s="23" t="n">
        <f aca="false">IF(K41="XCG",J41*Dashboard!$B$46,IF(K41="EUR",J41*Dashboard!$B$47,""))</f>
        <v>2514.5322</v>
      </c>
      <c r="M41" s="17" t="s">
        <v>129</v>
      </c>
      <c r="O41" s="21" t="s">
        <v>72</v>
      </c>
    </row>
    <row r="42" customFormat="false" ht="23.25" hidden="false" customHeight="true" outlineLevel="0" collapsed="false">
      <c r="A42" s="16" t="s">
        <v>124</v>
      </c>
      <c r="B42" s="17" t="s">
        <v>106</v>
      </c>
      <c r="C42" s="17" t="s">
        <v>92</v>
      </c>
      <c r="D42" s="17" t="s">
        <v>69</v>
      </c>
      <c r="E42" s="16" t="n">
        <v>137.42</v>
      </c>
      <c r="F42" s="16" t="n">
        <v>13.5</v>
      </c>
      <c r="G42" s="16" t="n">
        <v>0</v>
      </c>
      <c r="H42" s="17" t="n">
        <v>1672.6</v>
      </c>
      <c r="I42" s="17" t="n">
        <v>408.41</v>
      </c>
      <c r="J42" s="18" t="n">
        <f aca="false">H42+I42</f>
        <v>2081.01</v>
      </c>
      <c r="K42" s="16" t="s">
        <v>94</v>
      </c>
      <c r="L42" s="23" t="n">
        <f aca="false">IF(K42="XCG",J42*Dashboard!$B$46,IF(K42="EUR",J42*Dashboard!$B$47,""))</f>
        <v>2372.3514</v>
      </c>
      <c r="M42" s="17" t="s">
        <v>129</v>
      </c>
      <c r="O42" s="21" t="s">
        <v>72</v>
      </c>
    </row>
    <row r="43" customFormat="false" ht="23.25" hidden="false" customHeight="true" outlineLevel="0" collapsed="false">
      <c r="A43" s="16" t="s">
        <v>124</v>
      </c>
      <c r="B43" s="17" t="s">
        <v>108</v>
      </c>
      <c r="C43" s="17" t="s">
        <v>92</v>
      </c>
      <c r="D43" s="17" t="s">
        <v>93</v>
      </c>
      <c r="E43" s="16" t="n">
        <v>218.67</v>
      </c>
      <c r="F43" s="16" t="n">
        <v>38.25</v>
      </c>
      <c r="G43" s="16" t="n">
        <v>28.75</v>
      </c>
      <c r="H43" s="17" t="n">
        <v>3359.1</v>
      </c>
      <c r="I43" s="17" t="n">
        <v>803.52</v>
      </c>
      <c r="J43" s="18" t="n">
        <f aca="false">H43+I43</f>
        <v>4162.62</v>
      </c>
      <c r="K43" s="16" t="s">
        <v>94</v>
      </c>
      <c r="L43" s="23" t="n">
        <f aca="false">IF(K43="XCG",J43*Dashboard!$B$46,IF(K43="EUR",J43*Dashboard!$B$47,""))</f>
        <v>4745.3868</v>
      </c>
      <c r="M43" s="17" t="s">
        <v>130</v>
      </c>
      <c r="O43" s="21" t="s">
        <v>72</v>
      </c>
    </row>
    <row r="44" customFormat="false" ht="34.5" hidden="false" customHeight="true" outlineLevel="0" collapsed="false">
      <c r="A44" s="16" t="s">
        <v>131</v>
      </c>
      <c r="B44" s="17" t="s">
        <v>96</v>
      </c>
      <c r="C44" s="17" t="s">
        <v>92</v>
      </c>
      <c r="D44" s="17" t="s">
        <v>97</v>
      </c>
      <c r="E44" s="16" t="n">
        <v>144.41</v>
      </c>
      <c r="F44" s="16" t="n">
        <v>14.9</v>
      </c>
      <c r="G44" s="16" t="n">
        <v>0</v>
      </c>
      <c r="H44" s="17" t="n">
        <v>2222.03</v>
      </c>
      <c r="I44" s="17" t="n">
        <v>608.61</v>
      </c>
      <c r="J44" s="18" t="n">
        <f aca="false">H44+I44</f>
        <v>2830.64</v>
      </c>
      <c r="K44" s="16" t="s">
        <v>94</v>
      </c>
      <c r="L44" s="23" t="n">
        <f aca="false">IF(K44="XCG",J44*Dashboard!$B$46,IF(K44="EUR",J44*Dashboard!$B$47,""))</f>
        <v>3226.9296</v>
      </c>
      <c r="M44" s="17" t="s">
        <v>132</v>
      </c>
      <c r="O44" s="21" t="s">
        <v>72</v>
      </c>
    </row>
    <row r="45" customFormat="false" ht="34.5" hidden="false" customHeight="true" outlineLevel="0" collapsed="false">
      <c r="A45" s="16" t="s">
        <v>131</v>
      </c>
      <c r="B45" s="17" t="s">
        <v>99</v>
      </c>
      <c r="C45" s="17" t="s">
        <v>92</v>
      </c>
      <c r="D45" s="17" t="s">
        <v>100</v>
      </c>
      <c r="E45" s="16" t="n">
        <v>163.44</v>
      </c>
      <c r="F45" s="16" t="n">
        <v>21.15</v>
      </c>
      <c r="G45" s="16" t="n">
        <v>5.2</v>
      </c>
      <c r="H45" s="17" t="n">
        <v>2398.59</v>
      </c>
      <c r="I45" s="17" t="n">
        <v>699.93</v>
      </c>
      <c r="J45" s="18" t="n">
        <f aca="false">H45+I45</f>
        <v>3098.52</v>
      </c>
      <c r="K45" s="16" t="s">
        <v>94</v>
      </c>
      <c r="L45" s="23" t="n">
        <f aca="false">IF(K45="XCG",J45*Dashboard!$B$46,IF(K45="EUR",J45*Dashboard!$B$47,""))</f>
        <v>3532.3128</v>
      </c>
      <c r="M45" s="17" t="s">
        <v>133</v>
      </c>
      <c r="O45" s="21" t="s">
        <v>72</v>
      </c>
    </row>
    <row r="46" customFormat="false" ht="34.5" hidden="false" customHeight="true" outlineLevel="0" collapsed="false">
      <c r="A46" s="16" t="s">
        <v>131</v>
      </c>
      <c r="B46" s="17" t="s">
        <v>102</v>
      </c>
      <c r="C46" s="17" t="s">
        <v>92</v>
      </c>
      <c r="D46" s="17" t="s">
        <v>74</v>
      </c>
      <c r="E46" s="16" t="n">
        <v>146.75</v>
      </c>
      <c r="F46" s="16" t="n">
        <v>17.25</v>
      </c>
      <c r="G46" s="16" t="n">
        <v>0</v>
      </c>
      <c r="H46" s="17" t="n">
        <v>1815.77</v>
      </c>
      <c r="I46" s="17" t="n">
        <v>482.93</v>
      </c>
      <c r="J46" s="18" t="n">
        <f aca="false">H46+I46</f>
        <v>2298.7</v>
      </c>
      <c r="K46" s="16" t="s">
        <v>94</v>
      </c>
      <c r="L46" s="23" t="n">
        <f aca="false">IF(K46="XCG",J46*Dashboard!$B$46,IF(K46="EUR",J46*Dashboard!$B$47,""))</f>
        <v>2620.518</v>
      </c>
      <c r="M46" s="17" t="s">
        <v>134</v>
      </c>
      <c r="O46" s="21" t="s">
        <v>72</v>
      </c>
    </row>
    <row r="47" customFormat="false" ht="23.25" hidden="false" customHeight="true" outlineLevel="0" collapsed="false">
      <c r="A47" s="16" t="s">
        <v>135</v>
      </c>
      <c r="B47" s="17" t="s">
        <v>96</v>
      </c>
      <c r="C47" s="17" t="s">
        <v>92</v>
      </c>
      <c r="D47" s="17" t="s">
        <v>97</v>
      </c>
      <c r="E47" s="16" t="n">
        <v>170.47</v>
      </c>
      <c r="F47" s="16" t="n">
        <v>18.8</v>
      </c>
      <c r="G47" s="16" t="n">
        <v>0</v>
      </c>
      <c r="H47" s="17" t="n">
        <v>2627.55</v>
      </c>
      <c r="I47" s="17" t="n">
        <v>832.39</v>
      </c>
      <c r="J47" s="18" t="n">
        <f aca="false">H47+I47</f>
        <v>3459.94</v>
      </c>
      <c r="K47" s="16" t="s">
        <v>94</v>
      </c>
      <c r="L47" s="23" t="n">
        <f aca="false">IF(K47="XCG",J47*Dashboard!$B$46,IF(K47="EUR",J47*Dashboard!$B$47,""))</f>
        <v>3944.3316</v>
      </c>
      <c r="M47" s="17" t="s">
        <v>136</v>
      </c>
      <c r="O47" s="21" t="s">
        <v>72</v>
      </c>
    </row>
    <row r="48" customFormat="false" ht="23.25" hidden="false" customHeight="true" outlineLevel="0" collapsed="false">
      <c r="A48" s="16" t="s">
        <v>135</v>
      </c>
      <c r="B48" s="17" t="s">
        <v>99</v>
      </c>
      <c r="C48" s="17" t="s">
        <v>92</v>
      </c>
      <c r="D48" s="17" t="s">
        <v>100</v>
      </c>
      <c r="E48" s="16" t="n">
        <v>170.57</v>
      </c>
      <c r="F48" s="16" t="n">
        <v>18.9</v>
      </c>
      <c r="G48" s="16" t="n">
        <v>0</v>
      </c>
      <c r="H48" s="17" t="n">
        <v>2454.13</v>
      </c>
      <c r="I48" s="17" t="n">
        <v>808.11</v>
      </c>
      <c r="J48" s="18" t="n">
        <f aca="false">H48+I48</f>
        <v>3262.24</v>
      </c>
      <c r="K48" s="16" t="s">
        <v>94</v>
      </c>
      <c r="L48" s="23" t="n">
        <f aca="false">IF(K48="XCG",J48*Dashboard!$B$46,IF(K48="EUR",J48*Dashboard!$B$47,""))</f>
        <v>3718.9536</v>
      </c>
      <c r="M48" s="17" t="s">
        <v>137</v>
      </c>
      <c r="O48" s="21" t="s">
        <v>72</v>
      </c>
    </row>
    <row r="49" customFormat="false" ht="23.25" hidden="false" customHeight="true" outlineLevel="0" collapsed="false">
      <c r="A49" s="16" t="s">
        <v>135</v>
      </c>
      <c r="B49" s="17" t="s">
        <v>104</v>
      </c>
      <c r="C49" s="17" t="s">
        <v>92</v>
      </c>
      <c r="D49" s="17" t="s">
        <v>97</v>
      </c>
      <c r="E49" s="16" t="n">
        <v>126.37</v>
      </c>
      <c r="F49" s="16" t="n">
        <v>9.7</v>
      </c>
      <c r="G49" s="16" t="n">
        <v>0</v>
      </c>
      <c r="H49" s="17" t="n">
        <v>1548.11</v>
      </c>
      <c r="I49" s="17" t="n">
        <v>509.75</v>
      </c>
      <c r="J49" s="18" t="n">
        <f aca="false">H49+I49</f>
        <v>2057.86</v>
      </c>
      <c r="K49" s="16" t="s">
        <v>94</v>
      </c>
      <c r="L49" s="23" t="n">
        <f aca="false">IF(K49="XCG",J49*Dashboard!$B$46,IF(K49="EUR",J49*Dashboard!$B$47,""))</f>
        <v>2345.9604</v>
      </c>
      <c r="M49" s="17" t="s">
        <v>138</v>
      </c>
      <c r="O49" s="21" t="s">
        <v>72</v>
      </c>
    </row>
    <row r="50" customFormat="false" ht="68.25" hidden="false" customHeight="true" outlineLevel="0" collapsed="false">
      <c r="A50" s="16" t="s">
        <v>124</v>
      </c>
      <c r="B50" s="17" t="s">
        <v>67</v>
      </c>
      <c r="C50" s="17" t="s">
        <v>68</v>
      </c>
      <c r="D50" s="17" t="s">
        <v>69</v>
      </c>
      <c r="E50" s="16" t="n">
        <v>82.05</v>
      </c>
      <c r="F50" s="16" t="n">
        <v>0</v>
      </c>
      <c r="G50" s="16" t="n">
        <v>0</v>
      </c>
      <c r="H50" s="17" t="n">
        <v>2708.63</v>
      </c>
      <c r="I50" s="17" t="n">
        <v>955.9</v>
      </c>
      <c r="J50" s="18" t="n">
        <f aca="false">H50+I50</f>
        <v>3664.53</v>
      </c>
      <c r="K50" s="16" t="s">
        <v>70</v>
      </c>
      <c r="L50" s="23" t="n">
        <f aca="false">IF(K50="XCG",J50*Dashboard!$B$46,IF(K50="EUR",J50*Dashboard!$B$47,""))</f>
        <v>2044.80774</v>
      </c>
      <c r="M50" s="17" t="s">
        <v>139</v>
      </c>
      <c r="O50" s="21" t="s">
        <v>72</v>
      </c>
    </row>
    <row r="51" customFormat="false" ht="45.75" hidden="false" customHeight="true" outlineLevel="0" collapsed="false">
      <c r="A51" s="16" t="s">
        <v>124</v>
      </c>
      <c r="B51" s="17" t="s">
        <v>73</v>
      </c>
      <c r="C51" s="17" t="s">
        <v>68</v>
      </c>
      <c r="D51" s="17" t="s">
        <v>74</v>
      </c>
      <c r="E51" s="16" t="n">
        <v>152</v>
      </c>
      <c r="F51" s="16" t="n">
        <v>11.42</v>
      </c>
      <c r="G51" s="16" t="n">
        <v>0</v>
      </c>
      <c r="H51" s="17" t="n">
        <v>6489.28</v>
      </c>
      <c r="I51" s="17" t="n">
        <v>3123.03</v>
      </c>
      <c r="J51" s="18" t="n">
        <f aca="false">H51+I51</f>
        <v>9612.31</v>
      </c>
      <c r="K51" s="16" t="s">
        <v>70</v>
      </c>
      <c r="L51" s="23" t="n">
        <f aca="false">IF(K51="XCG",J51*Dashboard!$B$46,IF(K51="EUR",J51*Dashboard!$B$47,""))</f>
        <v>5363.66898</v>
      </c>
      <c r="M51" s="17" t="s">
        <v>140</v>
      </c>
      <c r="O51" s="21" t="s">
        <v>72</v>
      </c>
    </row>
    <row r="52" customFormat="false" ht="34.5" hidden="false" customHeight="true" outlineLevel="0" collapsed="false">
      <c r="A52" s="16" t="s">
        <v>124</v>
      </c>
      <c r="B52" s="17" t="s">
        <v>76</v>
      </c>
      <c r="C52" s="17" t="s">
        <v>68</v>
      </c>
      <c r="D52" s="17" t="s">
        <v>74</v>
      </c>
      <c r="E52" s="16" t="n">
        <v>153.57</v>
      </c>
      <c r="F52" s="16" t="n">
        <v>7.93</v>
      </c>
      <c r="G52" s="16" t="n">
        <v>0</v>
      </c>
      <c r="H52" s="17" t="n">
        <v>5444.95</v>
      </c>
      <c r="I52" s="17" t="n">
        <v>2717.57</v>
      </c>
      <c r="J52" s="18" t="n">
        <f aca="false">H52+I52</f>
        <v>8162.52</v>
      </c>
      <c r="K52" s="16" t="s">
        <v>70</v>
      </c>
      <c r="L52" s="23" t="n">
        <f aca="false">IF(K52="XCG",J52*Dashboard!$B$46,IF(K52="EUR",J52*Dashboard!$B$47,""))</f>
        <v>4554.68616</v>
      </c>
      <c r="M52" s="17" t="s">
        <v>141</v>
      </c>
      <c r="O52" s="21" t="s">
        <v>72</v>
      </c>
    </row>
    <row r="53" customFormat="false" ht="45.75" hidden="false" customHeight="true" outlineLevel="0" collapsed="false">
      <c r="A53" s="16" t="s">
        <v>124</v>
      </c>
      <c r="B53" s="17" t="s">
        <v>78</v>
      </c>
      <c r="C53" s="17" t="s">
        <v>68</v>
      </c>
      <c r="D53" s="17" t="s">
        <v>79</v>
      </c>
      <c r="E53" s="16" t="n">
        <v>160.88</v>
      </c>
      <c r="F53" s="16" t="n">
        <v>7.02</v>
      </c>
      <c r="G53" s="16" t="n">
        <v>0</v>
      </c>
      <c r="H53" s="17" t="n">
        <v>5988.28</v>
      </c>
      <c r="I53" s="17" t="n">
        <v>2390.43</v>
      </c>
      <c r="J53" s="18" t="n">
        <f aca="false">H53+I53</f>
        <v>8378.71</v>
      </c>
      <c r="K53" s="16" t="s">
        <v>70</v>
      </c>
      <c r="L53" s="23" t="n">
        <f aca="false">IF(K53="XCG",J53*Dashboard!$B$46,IF(K53="EUR",J53*Dashboard!$B$47,""))</f>
        <v>4675.32018</v>
      </c>
      <c r="M53" s="17" t="s">
        <v>142</v>
      </c>
      <c r="O53" s="21" t="s">
        <v>72</v>
      </c>
    </row>
    <row r="54" customFormat="false" ht="45.75" hidden="false" customHeight="true" outlineLevel="0" collapsed="false">
      <c r="A54" s="16" t="s">
        <v>131</v>
      </c>
      <c r="B54" s="17" t="s">
        <v>143</v>
      </c>
      <c r="C54" s="17" t="s">
        <v>68</v>
      </c>
      <c r="D54" s="17" t="s">
        <v>69</v>
      </c>
      <c r="E54" s="16" t="n">
        <v>0</v>
      </c>
      <c r="F54" s="16" t="n">
        <v>0</v>
      </c>
      <c r="G54" s="16" t="n">
        <v>0</v>
      </c>
      <c r="H54" s="17" t="n">
        <v>15898.02</v>
      </c>
      <c r="I54" s="17" t="n">
        <v>4018.02</v>
      </c>
      <c r="J54" s="18" t="n">
        <f aca="false">H54+I54</f>
        <v>19916.04</v>
      </c>
      <c r="K54" s="16" t="s">
        <v>70</v>
      </c>
      <c r="L54" s="23" t="n">
        <f aca="false">IF(K54="XCG",J54*Dashboard!$B$46,IF(K54="EUR",J54*Dashboard!$B$47,""))</f>
        <v>11113.15032</v>
      </c>
      <c r="M54" s="17" t="s">
        <v>144</v>
      </c>
      <c r="O54" s="24" t="s">
        <v>145</v>
      </c>
    </row>
    <row r="55" customFormat="false" ht="23.25" hidden="false" customHeight="true" outlineLevel="0" collapsed="false">
      <c r="A55" s="16" t="s">
        <v>131</v>
      </c>
      <c r="B55" s="17" t="s">
        <v>73</v>
      </c>
      <c r="C55" s="17" t="s">
        <v>68</v>
      </c>
      <c r="D55" s="17" t="s">
        <v>74</v>
      </c>
      <c r="E55" s="16" t="n">
        <v>152</v>
      </c>
      <c r="F55" s="16" t="n">
        <v>0</v>
      </c>
      <c r="G55" s="16" t="n">
        <v>0</v>
      </c>
      <c r="H55" s="17" t="n">
        <v>5457.73</v>
      </c>
      <c r="I55" s="17" t="n">
        <v>3661.78</v>
      </c>
      <c r="J55" s="18" t="n">
        <f aca="false">H55+I55</f>
        <v>9119.51</v>
      </c>
      <c r="K55" s="16" t="s">
        <v>70</v>
      </c>
      <c r="L55" s="23" t="n">
        <f aca="false">IF(K55="XCG",J55*Dashboard!$B$46,IF(K55="EUR",J55*Dashboard!$B$47,""))</f>
        <v>5088.68658</v>
      </c>
      <c r="M55" s="17" t="s">
        <v>146</v>
      </c>
      <c r="O55" s="21" t="s">
        <v>72</v>
      </c>
    </row>
    <row r="56" customFormat="false" ht="23.25" hidden="false" customHeight="true" outlineLevel="0" collapsed="false">
      <c r="A56" s="16" t="s">
        <v>131</v>
      </c>
      <c r="B56" s="17" t="s">
        <v>76</v>
      </c>
      <c r="C56" s="17" t="s">
        <v>68</v>
      </c>
      <c r="D56" s="17" t="s">
        <v>74</v>
      </c>
      <c r="E56" s="16" t="n">
        <v>157.47</v>
      </c>
      <c r="F56" s="16" t="n">
        <v>7.27</v>
      </c>
      <c r="G56" s="16" t="n">
        <v>0</v>
      </c>
      <c r="H56" s="17" t="n">
        <v>4891.46</v>
      </c>
      <c r="I56" s="17" t="n">
        <v>3439.57</v>
      </c>
      <c r="J56" s="18" t="n">
        <f aca="false">H56+I56</f>
        <v>8331.03</v>
      </c>
      <c r="K56" s="16" t="s">
        <v>70</v>
      </c>
      <c r="L56" s="23" t="n">
        <f aca="false">IF(K56="XCG",J56*Dashboard!$B$46,IF(K56="EUR",J56*Dashboard!$B$47,""))</f>
        <v>4648.71474</v>
      </c>
      <c r="M56" s="17" t="s">
        <v>147</v>
      </c>
      <c r="O56" s="21" t="s">
        <v>72</v>
      </c>
    </row>
    <row r="57" customFormat="false" ht="23.25" hidden="false" customHeight="true" outlineLevel="0" collapsed="false">
      <c r="A57" s="16" t="s">
        <v>131</v>
      </c>
      <c r="B57" s="17" t="s">
        <v>78</v>
      </c>
      <c r="C57" s="17" t="s">
        <v>68</v>
      </c>
      <c r="D57" s="17" t="s">
        <v>79</v>
      </c>
      <c r="E57" s="16" t="n">
        <v>158.52</v>
      </c>
      <c r="F57" s="16" t="n">
        <v>4.33</v>
      </c>
      <c r="G57" s="16" t="n">
        <v>0</v>
      </c>
      <c r="H57" s="17" t="n">
        <v>5340.09</v>
      </c>
      <c r="I57" s="17" t="n">
        <v>3108.21</v>
      </c>
      <c r="J57" s="18" t="n">
        <f aca="false">H57+I57</f>
        <v>8448.3</v>
      </c>
      <c r="K57" s="16" t="s">
        <v>70</v>
      </c>
      <c r="L57" s="23" t="n">
        <f aca="false">IF(K57="XCG",J57*Dashboard!$B$46,IF(K57="EUR",J57*Dashboard!$B$47,""))</f>
        <v>4714.1514</v>
      </c>
      <c r="M57" s="17" t="s">
        <v>148</v>
      </c>
      <c r="O57" s="21" t="s">
        <v>72</v>
      </c>
    </row>
    <row r="58" customFormat="false" ht="45.75" hidden="false" customHeight="true" outlineLevel="0" collapsed="false">
      <c r="A58" s="16" t="s">
        <v>131</v>
      </c>
      <c r="B58" s="17" t="s">
        <v>149</v>
      </c>
      <c r="C58" s="17" t="s">
        <v>68</v>
      </c>
      <c r="D58" s="17" t="s">
        <v>150</v>
      </c>
      <c r="E58" s="16" t="n">
        <v>0</v>
      </c>
      <c r="F58" s="16" t="n">
        <v>0</v>
      </c>
      <c r="G58" s="16" t="n">
        <v>0</v>
      </c>
      <c r="H58" s="17" t="n">
        <v>10733.67</v>
      </c>
      <c r="I58" s="17" t="n">
        <v>5570.11</v>
      </c>
      <c r="J58" s="18" t="n">
        <f aca="false">H58+I58</f>
        <v>16303.78</v>
      </c>
      <c r="K58" s="16" t="s">
        <v>70</v>
      </c>
      <c r="L58" s="23" t="n">
        <f aca="false">IF(K58="XCG",J58*Dashboard!$B$46,IF(K58="EUR",J58*Dashboard!$B$47,""))</f>
        <v>9097.50924</v>
      </c>
      <c r="M58" s="17" t="s">
        <v>151</v>
      </c>
      <c r="O58" s="24" t="s">
        <v>145</v>
      </c>
    </row>
    <row r="59" customFormat="false" ht="57" hidden="false" customHeight="true" outlineLevel="0" collapsed="false">
      <c r="A59" s="16" t="s">
        <v>135</v>
      </c>
      <c r="B59" s="17" t="s">
        <v>152</v>
      </c>
      <c r="C59" s="17" t="s">
        <v>68</v>
      </c>
      <c r="D59" s="17" t="s">
        <v>153</v>
      </c>
      <c r="E59" s="16" t="n">
        <v>0</v>
      </c>
      <c r="F59" s="16" t="n">
        <v>0</v>
      </c>
      <c r="G59" s="16" t="n">
        <v>0</v>
      </c>
      <c r="H59" s="17" t="n">
        <v>13545.76</v>
      </c>
      <c r="I59" s="17" t="n">
        <v>10310.85</v>
      </c>
      <c r="J59" s="18" t="n">
        <f aca="false">H59+I59</f>
        <v>23856.61</v>
      </c>
      <c r="K59" s="16" t="s">
        <v>70</v>
      </c>
      <c r="L59" s="23" t="n">
        <f aca="false">IF(K59="XCG",J59*Dashboard!$B$46,IF(K59="EUR",J59*Dashboard!$B$47,""))</f>
        <v>13311.98838</v>
      </c>
      <c r="M59" s="17" t="s">
        <v>154</v>
      </c>
      <c r="O59" s="24" t="s">
        <v>145</v>
      </c>
    </row>
    <row r="60" customFormat="false" ht="34.5" hidden="false" customHeight="true" outlineLevel="0" collapsed="false">
      <c r="A60" s="16" t="s">
        <v>135</v>
      </c>
      <c r="B60" s="17" t="s">
        <v>143</v>
      </c>
      <c r="C60" s="17" t="s">
        <v>68</v>
      </c>
      <c r="D60" s="17" t="s">
        <v>69</v>
      </c>
      <c r="E60" s="16" t="n">
        <v>0</v>
      </c>
      <c r="F60" s="16" t="n">
        <v>0</v>
      </c>
      <c r="G60" s="16" t="n">
        <v>0</v>
      </c>
      <c r="H60" s="17" t="n">
        <v>15898.02</v>
      </c>
      <c r="I60" s="17" t="n">
        <v>3981.67</v>
      </c>
      <c r="J60" s="18" t="n">
        <f aca="false">H60+I60</f>
        <v>19879.69</v>
      </c>
      <c r="K60" s="16" t="s">
        <v>70</v>
      </c>
      <c r="L60" s="23" t="n">
        <f aca="false">IF(K60="XCG",J60*Dashboard!$B$46,IF(K60="EUR",J60*Dashboard!$B$47,""))</f>
        <v>11092.86702</v>
      </c>
      <c r="M60" s="17" t="s">
        <v>155</v>
      </c>
      <c r="O60" s="24" t="s">
        <v>145</v>
      </c>
    </row>
    <row r="61" customFormat="false" ht="23.25" hidden="false" customHeight="true" outlineLevel="0" collapsed="false">
      <c r="A61" s="16" t="s">
        <v>135</v>
      </c>
      <c r="B61" s="17" t="s">
        <v>73</v>
      </c>
      <c r="C61" s="17" t="s">
        <v>68</v>
      </c>
      <c r="D61" s="17" t="s">
        <v>74</v>
      </c>
      <c r="E61" s="16" t="n">
        <v>176</v>
      </c>
      <c r="F61" s="16" t="n">
        <v>0</v>
      </c>
      <c r="G61" s="16" t="n">
        <v>0</v>
      </c>
      <c r="H61" s="17" t="n">
        <v>6205</v>
      </c>
      <c r="I61" s="17" t="n">
        <v>3902.04</v>
      </c>
      <c r="J61" s="18" t="n">
        <f aca="false">H61+I61</f>
        <v>10107.04</v>
      </c>
      <c r="K61" s="16" t="s">
        <v>70</v>
      </c>
      <c r="L61" s="23" t="n">
        <f aca="false">IF(K61="XCG",J61*Dashboard!$B$46,IF(K61="EUR",J61*Dashboard!$B$47,""))</f>
        <v>5639.72832</v>
      </c>
      <c r="M61" s="17" t="s">
        <v>156</v>
      </c>
      <c r="O61" s="21" t="s">
        <v>72</v>
      </c>
    </row>
    <row r="62" customFormat="false" ht="23.25" hidden="false" customHeight="true" outlineLevel="0" collapsed="false">
      <c r="A62" s="16" t="s">
        <v>135</v>
      </c>
      <c r="B62" s="17" t="s">
        <v>76</v>
      </c>
      <c r="C62" s="17" t="s">
        <v>68</v>
      </c>
      <c r="D62" s="17" t="s">
        <v>74</v>
      </c>
      <c r="E62" s="16" t="n">
        <v>173.92</v>
      </c>
      <c r="F62" s="16" t="n">
        <v>2.63</v>
      </c>
      <c r="G62" s="16" t="n">
        <v>0</v>
      </c>
      <c r="H62" s="17" t="n">
        <v>5140.51</v>
      </c>
      <c r="I62" s="17" t="n">
        <v>3510.71</v>
      </c>
      <c r="J62" s="18" t="n">
        <f aca="false">H62+I62</f>
        <v>8651.22</v>
      </c>
      <c r="K62" s="16" t="s">
        <v>70</v>
      </c>
      <c r="L62" s="23" t="n">
        <f aca="false">IF(K62="XCG",J62*Dashboard!$B$46,IF(K62="EUR",J62*Dashboard!$B$47,""))</f>
        <v>4827.38076</v>
      </c>
      <c r="M62" s="17" t="s">
        <v>157</v>
      </c>
      <c r="O62" s="21" t="s">
        <v>72</v>
      </c>
    </row>
  </sheetData>
  <mergeCells count="1">
    <mergeCell ref="A1:N1"/>
  </mergeCells>
  <dataValidations count="3">
    <dataValidation allowBlank="true" error="Select from list" errorStyle="stop" errorTitle="Entity" operator="between" showDropDown="false" showErrorMessage="false" showInputMessage="false" sqref="C4:C100" type="list">
      <formula1>"French - Saint Martin,Dutch - Sint Maarten,Other"</formula1>
      <formula2>0</formula2>
    </dataValidation>
    <dataValidation allowBlank="true" errorStyle="stop" operator="between" showDropDown="false" showErrorMessage="false" showInputMessage="false" sqref="D4:D100" type="list">
      <formula1>"Factory Production,Erection Crew,Admin &amp; Support,Logistics,Other"</formula1>
      <formula2>0</formula2>
    </dataValidation>
    <dataValidation allowBlank="true" errorStyle="stop" operator="between" showDropDown="false" showErrorMessage="false" showInputMessage="false" sqref="K4:K100" type="list">
      <formula1>"EUR,XCG"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4"/>
    <col collapsed="false" customWidth="true" hidden="false" outlineLevel="0" max="4" min="4" style="1" width="18"/>
    <col collapsed="false" customWidth="true" hidden="false" outlineLevel="0" max="5" min="5" style="1" width="14"/>
    <col collapsed="false" customWidth="true" hidden="false" outlineLevel="0" max="6" min="6" style="1" width="35"/>
  </cols>
  <sheetData>
    <row r="1" customFormat="false" ht="15.75" hidden="false" customHeight="true" outlineLevel="0" collapsed="false">
      <c r="A1" s="25" t="s">
        <v>158</v>
      </c>
      <c r="B1" s="25"/>
      <c r="C1" s="25"/>
      <c r="D1" s="25"/>
      <c r="E1" s="25"/>
      <c r="F1" s="25"/>
      <c r="G1" s="25"/>
      <c r="H1" s="25"/>
      <c r="I1" s="25"/>
      <c r="J1" s="25"/>
      <c r="K1" s="25"/>
      <c r="L1" s="25"/>
    </row>
    <row r="3" customFormat="false" ht="15" hidden="false" customHeight="true" outlineLevel="0" collapsed="false">
      <c r="A3" s="26" t="s">
        <v>159</v>
      </c>
      <c r="B3" s="26"/>
      <c r="C3" s="26"/>
      <c r="D3" s="26"/>
    </row>
    <row r="4" customFormat="false" ht="15" hidden="false" customHeight="true" outlineLevel="0" collapsed="false">
      <c r="A4" s="1" t="s">
        <v>160</v>
      </c>
      <c r="B4" s="27" t="s">
        <v>161</v>
      </c>
    </row>
    <row r="5" customFormat="false" ht="15" hidden="false" customHeight="true" outlineLevel="0" collapsed="false">
      <c r="A5" s="1" t="s">
        <v>162</v>
      </c>
      <c r="B5" s="28" t="n">
        <v>185000</v>
      </c>
    </row>
    <row r="6" customFormat="false" ht="15" hidden="false" customHeight="true" outlineLevel="0" collapsed="false">
      <c r="A6" s="1" t="s">
        <v>163</v>
      </c>
      <c r="B6" s="29" t="n">
        <v>0.56</v>
      </c>
      <c r="C6" s="1" t="s">
        <v>164</v>
      </c>
    </row>
    <row r="10" customFormat="false" ht="15" hidden="false" customHeight="true" outlineLevel="0" collapsed="false">
      <c r="A10" s="1" t="s">
        <v>165</v>
      </c>
      <c r="B10" s="30" t="n">
        <v>0.56</v>
      </c>
    </row>
    <row r="12" customFormat="false" ht="15" hidden="false" customHeight="true" outlineLevel="0" collapsed="false">
      <c r="A12" s="31" t="s">
        <v>166</v>
      </c>
      <c r="B12" s="31"/>
      <c r="C12" s="31"/>
      <c r="D12" s="31"/>
      <c r="E12" s="31"/>
      <c r="F12" s="31"/>
    </row>
    <row r="14" customFormat="false" ht="15" hidden="false" customHeight="true" outlineLevel="0" collapsed="false">
      <c r="A14" s="1" t="s">
        <v>167</v>
      </c>
      <c r="B14" s="32" t="n">
        <f aca="false">SUMIF(Labor_Data_Entry!A:A,$B$4,Labor_Data_Entry!E:E)</f>
        <v>0</v>
      </c>
      <c r="C14" s="1" t="s">
        <v>168</v>
      </c>
      <c r="D14" s="32" t="n">
        <f aca="false">SUMIF(Labor_Data_Entry!A:A,$B$4,Labor_Data_Entry!F:F)+SUMIF(Labor_Data_Entry!A:A,$B$4,Labor_Data_Entry!G:G)</f>
        <v>0</v>
      </c>
    </row>
    <row r="15" customFormat="false" ht="15" hidden="false" customHeight="true" outlineLevel="0" collapsed="false">
      <c r="A15" s="1" t="s">
        <v>169</v>
      </c>
      <c r="B15" s="33" t="n">
        <f aca="false">SUMIF(Labor_Data_Entry!A:A,$B$4,Labor_Data_Entry!F:F)</f>
        <v>0</v>
      </c>
      <c r="C15" s="1" t="s">
        <v>170</v>
      </c>
      <c r="D15" s="33" t="n">
        <f aca="false">SUMIF(Labor_Data_Entry!A:A,$B$4,Labor_Data_Entry!G:G)</f>
        <v>0</v>
      </c>
    </row>
    <row r="16" customFormat="false" ht="15" hidden="false" customHeight="true" outlineLevel="0" collapsed="false">
      <c r="A16" s="1" t="s">
        <v>171</v>
      </c>
      <c r="B16" s="34" t="n">
        <f aca="false">SUMIF(Labor_Data_Entry!A:A,$B$4,Labor_Data_Entry!L:L)</f>
        <v>0</v>
      </c>
      <c r="C16" s="1" t="s">
        <v>172</v>
      </c>
      <c r="D16" s="35" t="n">
        <f aca="false">IFERROR(B16/B5,0)</f>
        <v>0</v>
      </c>
    </row>
    <row r="17" customFormat="false" ht="15" hidden="false" customHeight="true" outlineLevel="0" collapsed="false">
      <c r="A17" s="1" t="s">
        <v>173</v>
      </c>
      <c r="B17" s="36" t="n">
        <f aca="false">COUNTIF(Labor_Data_Entry!A:A,$B$4)</f>
        <v>0</v>
      </c>
      <c r="C17" s="1" t="s">
        <v>174</v>
      </c>
      <c r="D17" s="35" t="n">
        <f aca="false">IFERROR(D14/(B14+D14),0)</f>
        <v>0</v>
      </c>
    </row>
    <row r="18" customFormat="false" ht="15" hidden="false" customHeight="true" outlineLevel="0" collapsed="false">
      <c r="A18" s="1" t="s">
        <v>175</v>
      </c>
      <c r="B18" s="37" t="n">
        <f aca="false">IFERROR(B16/(B14+D14),0)</f>
        <v>0</v>
      </c>
    </row>
    <row r="20" customFormat="false" ht="15" hidden="false" customHeight="true" outlineLevel="0" collapsed="false">
      <c r="A20" s="31" t="s">
        <v>176</v>
      </c>
      <c r="B20" s="31"/>
      <c r="C20" s="31"/>
      <c r="D20" s="31"/>
      <c r="E20" s="31"/>
      <c r="F20" s="31"/>
    </row>
    <row r="21" customFormat="false" ht="15" hidden="false" customHeight="true" outlineLevel="0" collapsed="false">
      <c r="A21" s="38" t="s">
        <v>53</v>
      </c>
      <c r="B21" s="38" t="s">
        <v>177</v>
      </c>
      <c r="C21" s="38" t="s">
        <v>178</v>
      </c>
      <c r="D21" s="38" t="s">
        <v>62</v>
      </c>
      <c r="E21" s="38" t="s">
        <v>179</v>
      </c>
    </row>
    <row r="22" customFormat="false" ht="15" hidden="false" customHeight="true" outlineLevel="0" collapsed="false">
      <c r="A22" s="39" t="s">
        <v>92</v>
      </c>
      <c r="B22" s="40" t="n">
        <f aca="false">SUMIFS(Labor_Data_Entry!E:E,Labor_Data_Entry!A:A,$B$4,Labor_Data_Entry!C:C,"French - Saint Martin")</f>
        <v>0</v>
      </c>
      <c r="C22" s="40" t="n">
        <f aca="false">SUMIFS(Labor_Data_Entry!F:F,Labor_Data_Entry!A:A,$B$4,Labor_Data_Entry!C:C,"French - Saint Martin")+SUMIFS(Labor_Data_Entry!G:G,Labor_Data_Entry!A:A,$B$4,Labor_Data_Entry!C:C,"French - Saint Martin")</f>
        <v>0</v>
      </c>
      <c r="D22" s="41" t="n">
        <f aca="false">SUMIFS(Labor_Data_Entry!L:L,Labor_Data_Entry!A:A,$B$4,Labor_Data_Entry!C:C,"French - Saint Martin")</f>
        <v>0</v>
      </c>
      <c r="E22" s="42" t="n">
        <f aca="false">IFERROR(D22/$B$16,0)</f>
        <v>0</v>
      </c>
    </row>
    <row r="23" customFormat="false" ht="15" hidden="false" customHeight="true" outlineLevel="0" collapsed="false">
      <c r="A23" s="43" t="s">
        <v>68</v>
      </c>
      <c r="B23" s="44" t="n">
        <f aca="false">SUMIFS(Labor_Data_Entry!E:E,Labor_Data_Entry!A:A,$B$4,Labor_Data_Entry!C:C,"Dutch - Sint Maarten")</f>
        <v>0</v>
      </c>
      <c r="C23" s="44" t="n">
        <f aca="false">SUMIFS(Labor_Data_Entry!F:F,Labor_Data_Entry!A:A,$B$4,Labor_Data_Entry!C:C,"Dutch - Sint Maarten")+SUMIFS(Labor_Data_Entry!G:G,Labor_Data_Entry!A:A,$B$4,Labor_Data_Entry!C:C,"Dutch - Sint Maarten")</f>
        <v>0</v>
      </c>
      <c r="D23" s="45" t="n">
        <f aca="false">SUMIFS(Labor_Data_Entry!L:L,Labor_Data_Entry!A:A,$B$4,Labor_Data_Entry!C:C,"Dutch - Sint Maarten")</f>
        <v>0</v>
      </c>
      <c r="E23" s="46" t="n">
        <f aca="false">IFERROR(D23/$B$16,0)</f>
        <v>0</v>
      </c>
    </row>
    <row r="25" customFormat="false" ht="15" hidden="false" customHeight="true" outlineLevel="0" collapsed="false">
      <c r="A25" s="26" t="s">
        <v>180</v>
      </c>
      <c r="B25" s="26"/>
      <c r="C25" s="26"/>
      <c r="D25" s="26"/>
      <c r="E25" s="26"/>
      <c r="F25" s="26"/>
    </row>
    <row r="26" customFormat="false" ht="15" hidden="false" customHeight="true" outlineLevel="0" collapsed="false">
      <c r="A26" s="38" t="s">
        <v>181</v>
      </c>
      <c r="B26" s="38" t="s">
        <v>53</v>
      </c>
      <c r="C26" s="38" t="s">
        <v>182</v>
      </c>
      <c r="D26" s="38" t="s">
        <v>55</v>
      </c>
      <c r="E26" s="38" t="s">
        <v>183</v>
      </c>
      <c r="F26" s="38" t="s">
        <v>184</v>
      </c>
    </row>
    <row r="27" customFormat="false" ht="15" hidden="false" customHeight="true" outlineLevel="0" collapsed="false">
      <c r="A27" s="47" t="s">
        <v>185</v>
      </c>
      <c r="C27" s="33"/>
      <c r="E27" s="48"/>
    </row>
    <row r="28" customFormat="false" ht="15" hidden="false" customHeight="true" outlineLevel="0" collapsed="false">
      <c r="A28" s="38" t="s">
        <v>181</v>
      </c>
      <c r="B28" s="38" t="s">
        <v>186</v>
      </c>
      <c r="C28" s="49" t="s">
        <v>182</v>
      </c>
      <c r="D28" s="38" t="s">
        <v>55</v>
      </c>
      <c r="E28" s="50" t="s">
        <v>187</v>
      </c>
      <c r="F28" s="38" t="s">
        <v>184</v>
      </c>
    </row>
    <row r="29" customFormat="false" ht="15" hidden="false" customHeight="true" outlineLevel="0" collapsed="false">
      <c r="A29" s="51" t="s">
        <v>188</v>
      </c>
      <c r="C29" s="33"/>
      <c r="E29" s="48"/>
    </row>
    <row r="30" customFormat="false" ht="15" hidden="false" customHeight="true" outlineLevel="0" collapsed="false">
      <c r="A30" s="52" t="s">
        <v>189</v>
      </c>
      <c r="B30" s="52" t="s">
        <v>190</v>
      </c>
      <c r="C30" s="53" t="n">
        <v>0</v>
      </c>
      <c r="D30" s="53" t="n">
        <v>151.67</v>
      </c>
      <c r="E30" s="54" t="n">
        <v>0</v>
      </c>
      <c r="F30" s="52" t="s">
        <v>191</v>
      </c>
    </row>
    <row r="31" customFormat="false" ht="15" hidden="false" customHeight="true" outlineLevel="0" collapsed="false">
      <c r="A31" s="52" t="s">
        <v>192</v>
      </c>
      <c r="B31" s="52" t="s">
        <v>193</v>
      </c>
      <c r="C31" s="53" t="n">
        <v>5.93</v>
      </c>
      <c r="D31" s="53" t="n">
        <v>136.6</v>
      </c>
      <c r="E31" s="54" t="n">
        <v>0.042</v>
      </c>
      <c r="F31" s="52" t="s">
        <v>194</v>
      </c>
    </row>
    <row r="32" customFormat="false" ht="15" hidden="false" customHeight="true" outlineLevel="0" collapsed="false">
      <c r="A32" s="52" t="s">
        <v>195</v>
      </c>
      <c r="B32" s="52" t="s">
        <v>196</v>
      </c>
      <c r="C32" s="53" t="n">
        <v>9.48</v>
      </c>
      <c r="D32" s="53" t="n">
        <v>115.7</v>
      </c>
      <c r="E32" s="54" t="n">
        <v>0.076</v>
      </c>
      <c r="F32" s="52" t="s">
        <v>197</v>
      </c>
    </row>
    <row r="33" customFormat="false" ht="15" hidden="false" customHeight="true" outlineLevel="0" collapsed="false">
      <c r="A33" s="55" t="s">
        <v>198</v>
      </c>
      <c r="B33" s="52" t="s">
        <v>199</v>
      </c>
      <c r="C33" s="53" t="n">
        <v>11.9</v>
      </c>
      <c r="D33" s="53" t="n">
        <v>113.28</v>
      </c>
      <c r="E33" s="54" t="n">
        <v>0.095</v>
      </c>
      <c r="F33" s="52" t="s">
        <v>200</v>
      </c>
    </row>
    <row r="34" customFormat="false" ht="15" hidden="false" customHeight="true" outlineLevel="0" collapsed="false"/>
    <row r="35" customFormat="false" ht="15" hidden="false" customHeight="true" outlineLevel="0" collapsed="false">
      <c r="A35" s="56" t="s">
        <v>201</v>
      </c>
      <c r="B35" s="56"/>
      <c r="C35" s="56"/>
      <c r="D35" s="56"/>
      <c r="E35" s="56"/>
      <c r="F35" s="56"/>
    </row>
    <row r="36" customFormat="false" ht="15" hidden="false" customHeight="true" outlineLevel="0" collapsed="false">
      <c r="A36" s="57" t="s">
        <v>202</v>
      </c>
    </row>
    <row r="40" customFormat="false" ht="15" hidden="false" customHeight="true" outlineLevel="0" collapsed="false">
      <c r="A40" s="58" t="s">
        <v>203</v>
      </c>
      <c r="B40" s="58"/>
      <c r="C40" s="58"/>
      <c r="D40" s="58"/>
      <c r="E40" s="58"/>
      <c r="F40" s="58"/>
      <c r="G40" s="58"/>
      <c r="H40" s="58"/>
      <c r="I40" s="58"/>
      <c r="J40" s="58"/>
      <c r="K40" s="58"/>
      <c r="L40" s="58"/>
    </row>
    <row r="45" customFormat="false" ht="15" hidden="false" customHeight="true" outlineLevel="0" collapsed="false">
      <c r="A45" s="59" t="s">
        <v>204</v>
      </c>
    </row>
    <row r="46" customFormat="false" ht="15" hidden="false" customHeight="true" outlineLevel="0" collapsed="false">
      <c r="A46" s="1" t="s">
        <v>205</v>
      </c>
      <c r="B46" s="60" t="n">
        <v>0.558</v>
      </c>
    </row>
    <row r="47" customFormat="false" ht="15" hidden="false" customHeight="true" outlineLevel="0" collapsed="false">
      <c r="A47" s="1" t="s">
        <v>206</v>
      </c>
      <c r="B47" s="61" t="n">
        <v>1.14</v>
      </c>
    </row>
    <row r="48" customFormat="false" ht="15" hidden="false" customHeight="true" outlineLevel="0" collapsed="false">
      <c r="A48" s="1" t="s">
        <v>207</v>
      </c>
    </row>
    <row r="50" customFormat="false" ht="15" hidden="false" customHeight="true" outlineLevel="0" collapsed="false">
      <c r="A50" s="59" t="s">
        <v>208</v>
      </c>
    </row>
    <row r="52" customFormat="false" ht="15" hidden="false" customHeight="true" outlineLevel="0" collapsed="false">
      <c r="A52" s="1" t="s">
        <v>209</v>
      </c>
      <c r="B52" s="62" t="n">
        <f aca="false">SUMIF(Labor_Data_Entry!A:A,$B$4,Labor_Data_Entry!N:N)</f>
        <v>0</v>
      </c>
    </row>
    <row r="53" customFormat="false" ht="15" hidden="false" customHeight="true" outlineLevel="0" collapsed="false">
      <c r="A53" s="1" t="s">
        <v>210</v>
      </c>
      <c r="B53" s="1" t="n">
        <f aca="false">SUMIF(Labor_Data_Entry!A:A,$B$4,Labor_Data_Entry!E:E)+SUMIF(Labor_Data_Entry!A:A,$B$4,Labor_Data_Entry!F:F)+SUMIF(Labor_Data_Entry!A:A,$B$4,Labor_Data_Entry!G:G)</f>
        <v>0</v>
      </c>
    </row>
    <row r="54" customFormat="false" ht="15" hidden="false" customHeight="true" outlineLevel="0" collapsed="false">
      <c r="A54" s="1" t="s">
        <v>211</v>
      </c>
      <c r="B54" s="63" t="n">
        <f aca="false">IFERROR(B52/B53,0)</f>
        <v>0</v>
      </c>
    </row>
    <row r="56" customFormat="false" ht="15" hidden="false" customHeight="true" outlineLevel="0" collapsed="false">
      <c r="A56" s="64" t="s">
        <v>212</v>
      </c>
    </row>
    <row r="57" customFormat="false" ht="15" hidden="false" customHeight="true" outlineLevel="0" collapsed="false">
      <c r="A57" s="1" t="s">
        <v>213</v>
      </c>
      <c r="B57" s="65" t="n">
        <f aca="false">SUMIFS(Labor_Data_Entry!N:N,Labor_Data_Entry!A:A,$B$4,Labor_Data_Entry!C:C,"French - Saint Martin")</f>
        <v>0</v>
      </c>
    </row>
    <row r="58" customFormat="false" ht="15" hidden="false" customHeight="true" outlineLevel="0" collapsed="false">
      <c r="A58" s="1" t="s">
        <v>214</v>
      </c>
      <c r="B58" s="65" t="n">
        <f aca="false">SUMIFS(Labor_Data_Entry!N:N,Labor_Data_Entry!A:A,$B$4,Labor_Data_Entry!C:C,"Dutch - Sint Maarten")</f>
        <v>0</v>
      </c>
    </row>
    <row r="60" customFormat="false" ht="15" hidden="false" customHeight="true" outlineLevel="0" collapsed="false">
      <c r="A60" s="51" t="s">
        <v>215</v>
      </c>
    </row>
    <row r="62" customFormat="false" ht="15" hidden="false" customHeight="true" outlineLevel="0" collapsed="false">
      <c r="A62" s="66" t="s">
        <v>216</v>
      </c>
    </row>
  </sheetData>
  <mergeCells count="7">
    <mergeCell ref="A1:L1"/>
    <mergeCell ref="A3:D3"/>
    <mergeCell ref="A12:F12"/>
    <mergeCell ref="A20:F20"/>
    <mergeCell ref="A25:F25"/>
    <mergeCell ref="A35:F35"/>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67" t="s">
        <v>217</v>
      </c>
      <c r="B1" s="67"/>
      <c r="C1" s="67"/>
      <c r="D1" s="67"/>
      <c r="E1" s="67"/>
      <c r="F1" s="67"/>
      <c r="G1" s="67"/>
      <c r="H1" s="67"/>
      <c r="I1" s="67"/>
      <c r="J1" s="67"/>
      <c r="K1" s="67"/>
      <c r="L1" s="67"/>
      <c r="M1" s="67"/>
      <c r="N1" s="67"/>
    </row>
    <row r="2" customFormat="false" ht="15" hidden="false" customHeight="false" outlineLevel="0" collapsed="false">
      <c r="A2" s="68" t="s">
        <v>218</v>
      </c>
      <c r="B2" s="68"/>
      <c r="C2" s="68"/>
      <c r="D2" s="68"/>
      <c r="E2" s="68"/>
      <c r="F2" s="68"/>
      <c r="G2" s="68"/>
      <c r="H2" s="68"/>
      <c r="I2" s="68"/>
      <c r="J2" s="68"/>
      <c r="K2" s="68"/>
      <c r="L2" s="68"/>
      <c r="M2" s="68"/>
      <c r="N2" s="68"/>
    </row>
    <row r="4" customFormat="false" ht="15" hidden="false" customHeight="false" outlineLevel="0" collapsed="false">
      <c r="A4" s="69" t="s">
        <v>219</v>
      </c>
    </row>
    <row r="5" customFormat="false" ht="52.2" hidden="false" customHeight="false" outlineLevel="0" collapsed="false">
      <c r="A5" s="15" t="s">
        <v>220</v>
      </c>
      <c r="B5" s="15" t="s">
        <v>221</v>
      </c>
      <c r="C5" s="15" t="s">
        <v>222</v>
      </c>
      <c r="D5" s="15" t="s">
        <v>223</v>
      </c>
      <c r="E5" s="15" t="s">
        <v>224</v>
      </c>
      <c r="F5" s="15" t="s">
        <v>225</v>
      </c>
      <c r="G5" s="15" t="s">
        <v>226</v>
      </c>
      <c r="H5" s="15" t="s">
        <v>227</v>
      </c>
      <c r="I5" s="15" t="s">
        <v>228</v>
      </c>
      <c r="J5" s="15" t="s">
        <v>229</v>
      </c>
      <c r="K5" s="15" t="s">
        <v>230</v>
      </c>
    </row>
    <row r="6" customFormat="false" ht="15" hidden="false" customHeight="false" outlineLevel="0" collapsed="false">
      <c r="A6" s="70" t="s">
        <v>66</v>
      </c>
      <c r="B6" s="71" t="n">
        <f aca="false">SUMIFS(Labor_Data_Entry!E:E,Labor_Data_Entry!A:A,A6,Labor_Data_Entry!C:C,"French - Saint Martin",Labor_Data_Entry!O:O,"Yes") + SUMIFS(Labor_Data_Entry!F:F,Labor_Data_Entry!A:A,A6,Labor_Data_Entry!C:C,"French - Saint Martin",Labor_Data_Entry!O:O,"Yes") + SUMIFS(Labor_Data_Entry!G:G,Labor_Data_Entry!A:A,A6,Labor_Data_Entry!C:C,"French - Saint Martin",Labor_Data_Entry!O:O,"Yes")</f>
        <v>1108.09</v>
      </c>
      <c r="C6" s="72" t="n">
        <f aca="false">SUMIFS(Labor_Data_Entry!N:N,Labor_Data_Entry!A:A,A6,Labor_Data_Entry!C:C,"French - Saint Martin",Labor_Data_Entry!O:O,"Yes")</f>
        <v>20691.5586</v>
      </c>
      <c r="D6" s="73" t="n">
        <f aca="false">IFERROR(C6/B6,0)</f>
        <v>18.6731751031053</v>
      </c>
      <c r="E6" s="71" t="n">
        <f aca="false">SUMIFS(Labor_Data_Entry!E:E,Labor_Data_Entry!A:A,A6,Labor_Data_Entry!C:C,"Dutch - Sint Maarten",Labor_Data_Entry!O:O,"Yes") + SUMIFS(Labor_Data_Entry!F:F,Labor_Data_Entry!A:A,A6,Labor_Data_Entry!C:C,"Dutch - Sint Maarten",Labor_Data_Entry!O:O,"Yes") + SUMIFS(Labor_Data_Entry!G:G,Labor_Data_Entry!A:A,A6,Labor_Data_Entry!C:C,"Dutch - Sint Maarten",Labor_Data_Entry!O:O,"Yes")</f>
        <v>770.32</v>
      </c>
      <c r="F6" s="72" t="n">
        <f aca="false">SUMIFS(Labor_Data_Entry!N:N,Labor_Data_Entry!A:A,A6,Labor_Data_Entry!C:C,"Dutch - Sint Maarten",Labor_Data_Entry!O:O,"Yes")</f>
        <v>14426.81658</v>
      </c>
      <c r="G6" s="73" t="n">
        <f aca="false">IFERROR(F6/E6,0)</f>
        <v>18.7283422214145</v>
      </c>
      <c r="H6" s="71" t="n">
        <f aca="false">B6+E6</f>
        <v>1878.41</v>
      </c>
      <c r="I6" s="72" t="n">
        <f aca="false">C6+F6</f>
        <v>35118.37518</v>
      </c>
      <c r="J6" s="73" t="n">
        <f aca="false">IFERROR(I6/H6,0)</f>
        <v>18.6957986701519</v>
      </c>
      <c r="K6" s="70" t="s">
        <v>231</v>
      </c>
    </row>
    <row r="7" customFormat="false" ht="15" hidden="false" customHeight="false" outlineLevel="0" collapsed="false">
      <c r="A7" s="70" t="s">
        <v>81</v>
      </c>
      <c r="B7" s="71" t="n">
        <f aca="false">SUMIFS(Labor_Data_Entry!E:E,Labor_Data_Entry!A:A,A7,Labor_Data_Entry!C:C,"French - Saint Martin",Labor_Data_Entry!O:O,"Yes") + SUMIFS(Labor_Data_Entry!F:F,Labor_Data_Entry!A:A,A7,Labor_Data_Entry!C:C,"French - Saint Martin",Labor_Data_Entry!O:O,"Yes") + SUMIFS(Labor_Data_Entry!G:G,Labor_Data_Entry!A:A,A7,Labor_Data_Entry!C:C,"French - Saint Martin",Labor_Data_Entry!O:O,"Yes")</f>
        <v>1003.55</v>
      </c>
      <c r="C7" s="72" t="n">
        <f aca="false">SUMIFS(Labor_Data_Entry!N:N,Labor_Data_Entry!A:A,A7,Labor_Data_Entry!C:C,"French - Saint Martin",Labor_Data_Entry!O:O,"Yes")</f>
        <v>23637.501</v>
      </c>
      <c r="D7" s="73" t="n">
        <f aca="false">IFERROR(C7/B7,0)</f>
        <v>23.5538847092821</v>
      </c>
      <c r="E7" s="71" t="n">
        <f aca="false">SUMIFS(Labor_Data_Entry!E:E,Labor_Data_Entry!A:A,A7,Labor_Data_Entry!C:C,"Dutch - Sint Maarten",Labor_Data_Entry!O:O,"Yes") + SUMIFS(Labor_Data_Entry!F:F,Labor_Data_Entry!A:A,A7,Labor_Data_Entry!C:C,"Dutch - Sint Maarten",Labor_Data_Entry!O:O,"Yes") + SUMIFS(Labor_Data_Entry!G:G,Labor_Data_Entry!A:A,A7,Labor_Data_Entry!C:C,"Dutch - Sint Maarten",Labor_Data_Entry!O:O,"Yes")</f>
        <v>648.69</v>
      </c>
      <c r="F7" s="72" t="n">
        <f aca="false">SUMIFS(Labor_Data_Entry!N:N,Labor_Data_Entry!A:A,A7,Labor_Data_Entry!C:C,"Dutch - Sint Maarten",Labor_Data_Entry!O:O,"Yes")</f>
        <v>12648.8556</v>
      </c>
      <c r="G7" s="73" t="n">
        <f aca="false">IFERROR(F7/E7,0)</f>
        <v>19.499075983906</v>
      </c>
      <c r="H7" s="71" t="n">
        <f aca="false">B7+E7</f>
        <v>1652.24</v>
      </c>
      <c r="I7" s="72" t="n">
        <f aca="false">C7+F7</f>
        <v>36286.3566</v>
      </c>
      <c r="J7" s="73" t="n">
        <f aca="false">IFERROR(I7/H7,0)</f>
        <v>21.9619163075582</v>
      </c>
      <c r="K7" s="70" t="s">
        <v>232</v>
      </c>
    </row>
    <row r="8" customFormat="false" ht="15" hidden="false" customHeight="false" outlineLevel="0" collapsed="false">
      <c r="A8" s="70" t="s">
        <v>86</v>
      </c>
      <c r="B8" s="71" t="n">
        <f aca="false">SUMIFS(Labor_Data_Entry!E:E,Labor_Data_Entry!A:A,A8,Labor_Data_Entry!C:C,"French - Saint Martin",Labor_Data_Entry!O:O,"Yes") + SUMIFS(Labor_Data_Entry!F:F,Labor_Data_Entry!A:A,A8,Labor_Data_Entry!C:C,"French - Saint Martin",Labor_Data_Entry!O:O,"Yes") + SUMIFS(Labor_Data_Entry!G:G,Labor_Data_Entry!A:A,A8,Labor_Data_Entry!C:C,"French - Saint Martin",Labor_Data_Entry!O:O,"Yes")</f>
        <v>695.64</v>
      </c>
      <c r="C8" s="72" t="n">
        <f aca="false">SUMIFS(Labor_Data_Entry!N:N,Labor_Data_Entry!A:A,A8,Labor_Data_Entry!C:C,"French - Saint Martin",Labor_Data_Entry!O:O,"Yes")</f>
        <v>14832.0498</v>
      </c>
      <c r="D8" s="73" t="n">
        <f aca="false">IFERROR(C8/B8,0)</f>
        <v>21.3214447127825</v>
      </c>
      <c r="E8" s="71" t="n">
        <f aca="false">SUMIFS(Labor_Data_Entry!E:E,Labor_Data_Entry!A:A,A8,Labor_Data_Entry!C:C,"Dutch - Sint Maarten",Labor_Data_Entry!O:O,"Yes") + SUMIFS(Labor_Data_Entry!F:F,Labor_Data_Entry!A:A,A8,Labor_Data_Entry!C:C,"Dutch - Sint Maarten",Labor_Data_Entry!O:O,"Yes") + SUMIFS(Labor_Data_Entry!G:G,Labor_Data_Entry!A:A,A8,Labor_Data_Entry!C:C,"Dutch - Sint Maarten",Labor_Data_Entry!O:O,"Yes")</f>
        <v>481.83</v>
      </c>
      <c r="F8" s="72" t="n">
        <f aca="false">SUMIFS(Labor_Data_Entry!N:N,Labor_Data_Entry!A:A,A8,Labor_Data_Entry!C:C,"Dutch - Sint Maarten",Labor_Data_Entry!O:O,"Yes")</f>
        <v>12159.31104</v>
      </c>
      <c r="G8" s="73" t="n">
        <f aca="false">IFERROR(F8/E8,0)</f>
        <v>25.2356869435278</v>
      </c>
      <c r="H8" s="71" t="n">
        <f aca="false">B8+E8</f>
        <v>1177.47</v>
      </c>
      <c r="I8" s="72" t="n">
        <f aca="false">C8+F8</f>
        <v>26991.36084</v>
      </c>
      <c r="J8" s="73" t="n">
        <f aca="false">IFERROR(I8/H8,0)</f>
        <v>22.9231834696425</v>
      </c>
      <c r="K8" s="70" t="s">
        <v>233</v>
      </c>
    </row>
    <row r="9" customFormat="false" ht="15" hidden="false" customHeight="false" outlineLevel="0" collapsed="false">
      <c r="A9" s="70" t="s">
        <v>124</v>
      </c>
      <c r="B9" s="71" t="n">
        <f aca="false">SUMIFS(Labor_Data_Entry!E:E,Labor_Data_Entry!A:A,A9,Labor_Data_Entry!C:C,"French - Saint Martin",Labor_Data_Entry!O:O,"Yes") + SUMIFS(Labor_Data_Entry!F:F,Labor_Data_Entry!A:A,A9,Labor_Data_Entry!C:C,"French - Saint Martin",Labor_Data_Entry!O:O,"Yes") + SUMIFS(Labor_Data_Entry!G:G,Labor_Data_Entry!A:A,A9,Labor_Data_Entry!C:C,"French - Saint Martin",Labor_Data_Entry!O:O,"Yes")</f>
        <v>1167.42</v>
      </c>
      <c r="C9" s="72" t="n">
        <f aca="false">SUMIFS(Labor_Data_Entry!N:N,Labor_Data_Entry!A:A,A9,Labor_Data_Entry!C:C,"French - Saint Martin",Labor_Data_Entry!O:O,"Yes")</f>
        <v>0</v>
      </c>
      <c r="D9" s="73" t="n">
        <f aca="false">IFERROR(C9/B9,0)</f>
        <v>0</v>
      </c>
      <c r="E9" s="71" t="n">
        <f aca="false">SUMIFS(Labor_Data_Entry!E:E,Labor_Data_Entry!A:A,A9,Labor_Data_Entry!C:C,"Dutch - Sint Maarten",Labor_Data_Entry!O:O,"Yes") + SUMIFS(Labor_Data_Entry!F:F,Labor_Data_Entry!A:A,A9,Labor_Data_Entry!C:C,"Dutch - Sint Maarten",Labor_Data_Entry!O:O,"Yes") + SUMIFS(Labor_Data_Entry!G:G,Labor_Data_Entry!A:A,A9,Labor_Data_Entry!C:C,"Dutch - Sint Maarten",Labor_Data_Entry!O:O,"Yes")</f>
        <v>574.87</v>
      </c>
      <c r="F9" s="72" t="n">
        <f aca="false">SUMIFS(Labor_Data_Entry!N:N,Labor_Data_Entry!A:A,A9,Labor_Data_Entry!C:C,"Dutch - Sint Maarten",Labor_Data_Entry!O:O,"Yes")</f>
        <v>0</v>
      </c>
      <c r="G9" s="73" t="n">
        <f aca="false">IFERROR(F9/E9,0)</f>
        <v>0</v>
      </c>
      <c r="H9" s="71" t="n">
        <f aca="false">B9+E9</f>
        <v>1742.29</v>
      </c>
      <c r="I9" s="72" t="n">
        <f aca="false">C9+F9</f>
        <v>0</v>
      </c>
      <c r="J9" s="73" t="n">
        <f aca="false">IFERROR(I9/H9,0)</f>
        <v>0</v>
      </c>
      <c r="K9" s="70" t="s">
        <v>234</v>
      </c>
    </row>
    <row r="10" customFormat="false" ht="15" hidden="false" customHeight="false" outlineLevel="0" collapsed="false">
      <c r="A10" s="70" t="s">
        <v>131</v>
      </c>
      <c r="B10" s="71" t="n">
        <f aca="false">SUMIFS(Labor_Data_Entry!E:E,Labor_Data_Entry!A:A,A10,Labor_Data_Entry!C:C,"French - Saint Martin",Labor_Data_Entry!O:O,"Yes") + SUMIFS(Labor_Data_Entry!F:F,Labor_Data_Entry!A:A,A10,Labor_Data_Entry!C:C,"French - Saint Martin",Labor_Data_Entry!O:O,"Yes") + SUMIFS(Labor_Data_Entry!G:G,Labor_Data_Entry!A:A,A10,Labor_Data_Entry!C:C,"French - Saint Martin",Labor_Data_Entry!O:O,"Yes")</f>
        <v>513.1</v>
      </c>
      <c r="C10" s="72" t="n">
        <f aca="false">SUMIFS(Labor_Data_Entry!N:N,Labor_Data_Entry!A:A,A10,Labor_Data_Entry!C:C,"French - Saint Martin",Labor_Data_Entry!O:O,"Yes")</f>
        <v>0</v>
      </c>
      <c r="D10" s="73" t="n">
        <f aca="false">IFERROR(C10/B10,0)</f>
        <v>0</v>
      </c>
      <c r="E10" s="71" t="n">
        <f aca="false">SUMIFS(Labor_Data_Entry!E:E,Labor_Data_Entry!A:A,A10,Labor_Data_Entry!C:C,"Dutch - Sint Maarten",Labor_Data_Entry!O:O,"Yes") + SUMIFS(Labor_Data_Entry!F:F,Labor_Data_Entry!A:A,A10,Labor_Data_Entry!C:C,"Dutch - Sint Maarten",Labor_Data_Entry!O:O,"Yes") + SUMIFS(Labor_Data_Entry!G:G,Labor_Data_Entry!A:A,A10,Labor_Data_Entry!C:C,"Dutch - Sint Maarten",Labor_Data_Entry!O:O,"Yes")</f>
        <v>479.59</v>
      </c>
      <c r="F10" s="72" t="n">
        <f aca="false">SUMIFS(Labor_Data_Entry!N:N,Labor_Data_Entry!A:A,A10,Labor_Data_Entry!C:C,"Dutch - Sint Maarten",Labor_Data_Entry!O:O,"Yes")</f>
        <v>0</v>
      </c>
      <c r="G10" s="73" t="n">
        <f aca="false">IFERROR(F10/E10,0)</f>
        <v>0</v>
      </c>
      <c r="H10" s="71" t="n">
        <f aca="false">B10+E10</f>
        <v>992.69</v>
      </c>
      <c r="I10" s="72" t="n">
        <f aca="false">C10+F10</f>
        <v>0</v>
      </c>
      <c r="J10" s="73" t="n">
        <f aca="false">IFERROR(I10/H10,0)</f>
        <v>0</v>
      </c>
      <c r="K10" s="70" t="s">
        <v>235</v>
      </c>
    </row>
    <row r="11" customFormat="false" ht="15" hidden="false" customHeight="false" outlineLevel="0" collapsed="false">
      <c r="A11" s="70" t="s">
        <v>135</v>
      </c>
      <c r="B11" s="71" t="n">
        <f aca="false">SUMIFS(Labor_Data_Entry!E:E,Labor_Data_Entry!A:A,A11,Labor_Data_Entry!C:C,"French - Saint Martin",Labor_Data_Entry!O:O,"Yes") + SUMIFS(Labor_Data_Entry!F:F,Labor_Data_Entry!A:A,A11,Labor_Data_Entry!C:C,"French - Saint Martin",Labor_Data_Entry!O:O,"Yes") + SUMIFS(Labor_Data_Entry!G:G,Labor_Data_Entry!A:A,A11,Labor_Data_Entry!C:C,"French - Saint Martin",Labor_Data_Entry!O:O,"Yes")</f>
        <v>514.81</v>
      </c>
      <c r="C11" s="72" t="n">
        <f aca="false">SUMIFS(Labor_Data_Entry!N:N,Labor_Data_Entry!A:A,A11,Labor_Data_Entry!C:C,"French - Saint Martin",Labor_Data_Entry!O:O,"Yes")</f>
        <v>0</v>
      </c>
      <c r="D11" s="73" t="n">
        <f aca="false">IFERROR(C11/B11,0)</f>
        <v>0</v>
      </c>
      <c r="E11" s="71" t="n">
        <f aca="false">SUMIFS(Labor_Data_Entry!E:E,Labor_Data_Entry!A:A,A11,Labor_Data_Entry!C:C,"Dutch - Sint Maarten",Labor_Data_Entry!O:O,"Yes") + SUMIFS(Labor_Data_Entry!F:F,Labor_Data_Entry!A:A,A11,Labor_Data_Entry!C:C,"Dutch - Sint Maarten",Labor_Data_Entry!O:O,"Yes") + SUMIFS(Labor_Data_Entry!G:G,Labor_Data_Entry!A:A,A11,Labor_Data_Entry!C:C,"Dutch - Sint Maarten",Labor_Data_Entry!O:O,"Yes")</f>
        <v>352.55</v>
      </c>
      <c r="F11" s="72" t="n">
        <f aca="false">SUMIFS(Labor_Data_Entry!N:N,Labor_Data_Entry!A:A,A11,Labor_Data_Entry!C:C,"Dutch - Sint Maarten",Labor_Data_Entry!O:O,"Yes")</f>
        <v>0</v>
      </c>
      <c r="G11" s="73" t="n">
        <f aca="false">IFERROR(F11/E11,0)</f>
        <v>0</v>
      </c>
      <c r="H11" s="71" t="n">
        <f aca="false">B11+E11</f>
        <v>867.36</v>
      </c>
      <c r="I11" s="72" t="n">
        <f aca="false">C11+F11</f>
        <v>0</v>
      </c>
      <c r="J11" s="73" t="n">
        <f aca="false">IFERROR(I11/H11,0)</f>
        <v>0</v>
      </c>
      <c r="K11" s="70" t="s">
        <v>236</v>
      </c>
    </row>
    <row r="28" customFormat="false" ht="15" hidden="false" customHeight="false" outlineLevel="0" collapsed="false">
      <c r="A28" s="74" t="s">
        <v>237</v>
      </c>
    </row>
    <row r="29" customFormat="false" ht="15" hidden="false" customHeight="false" outlineLevel="0" collapsed="false">
      <c r="A29" s="0" t="s">
        <v>238</v>
      </c>
      <c r="B29" s="0" t="n">
        <f aca="false">SUMIFS(Labor_Data_Entry!F:F,Labor_Data_Entry!C:C,"French - Saint Martin",Labor_Data_Entry!O:O,"Yes") + SUMIFS(Labor_Data_Entry!G:G,Labor_Data_Entry!C:C,"French - Saint Martin",Labor_Data_Entry!O:O,"Yes")</f>
        <v>382.72</v>
      </c>
    </row>
    <row r="30" customFormat="false" ht="15" hidden="false" customHeight="false" outlineLevel="0" collapsed="false">
      <c r="A30" s="0" t="s">
        <v>239</v>
      </c>
      <c r="B30" s="0" t="n">
        <f aca="false">SUMIFS(Labor_Data_Entry!F:F,Labor_Data_Entry!C:C,"Dutch - Sint Maarten",Labor_Data_Entry!O:O,"Yes") + SUMIFS(Labor_Data_Entry!G:G,Labor_Data_Entry!C:C,"Dutch - Sint Maarten",Labor_Data_Entry!O:O,"Yes")</f>
        <v>211.44</v>
      </c>
    </row>
    <row r="31" customFormat="false" ht="15" hidden="false" customHeight="false" outlineLevel="0" collapsed="false">
      <c r="A31" s="0" t="s">
        <v>240</v>
      </c>
      <c r="B31" s="0" t="n">
        <f aca="false">B29+B30</f>
        <v>594.16</v>
      </c>
    </row>
    <row r="33" customFormat="false" ht="15" hidden="false" customHeight="false" outlineLevel="0" collapsed="false">
      <c r="A33" s="74" t="s">
        <v>241</v>
      </c>
    </row>
    <row r="34" customFormat="false" ht="15" hidden="false" customHeight="false" outlineLevel="0" collapsed="false">
      <c r="A34" s="0" t="s">
        <v>242</v>
      </c>
    </row>
    <row r="35" customFormat="false" ht="15" hidden="false" customHeight="false" outlineLevel="0" collapsed="false">
      <c r="A35" s="0" t="s">
        <v>243</v>
      </c>
    </row>
    <row r="36" customFormat="false" ht="15" hidden="false" customHeight="false" outlineLevel="0" collapsed="false">
      <c r="A36" s="0" t="s">
        <v>244</v>
      </c>
    </row>
    <row r="37" customFormat="false" ht="15" hidden="false" customHeight="false" outlineLevel="0" collapsed="false">
      <c r="A37" s="0" t="s">
        <v>245</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2026-07-02T11:51:43Z</dcterms:created>
  <dc:creator>openpyxl</dc:creator>
  <dc:description/>
  <dc:language>en-US</dc:language>
  <cp:lastModifiedBy/>
  <dcterms:modified xsi:type="dcterms:W3CDTF">2026-07-02T16:37:42Z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