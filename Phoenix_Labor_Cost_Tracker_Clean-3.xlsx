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_Data_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20" customWidth="1" min="11" max="11"/>
    <col width="10" customWidth="1" min="12" max="12"/>
    <col width="16" customWidth="1" min="13" max="13"/>
    <col width="16" customWidth="1" min="14" max="14"/>
    <col width="18" customWidth="1" min="15" max="15"/>
    <col width="45" customWidth="1" min="16" max="16"/>
  </cols>
  <sheetData>
    <row r="1">
      <c r="A1" s="1" t="inlineStr">
        <is>
          <t>Month (YYYY-MM)</t>
        </is>
      </c>
      <c r="B1" s="1" t="inlineStr">
        <is>
          <t>Employee Name</t>
        </is>
      </c>
      <c r="C1" s="1" t="inlineStr">
        <is>
          <t>Entity</t>
        </is>
      </c>
      <c r="D1" s="1" t="inlineStr">
        <is>
          <t>Department</t>
        </is>
      </c>
      <c r="E1" s="1" t="inlineStr">
        <is>
          <t>Regular Hours</t>
        </is>
      </c>
      <c r="F1" s="1" t="inlineStr">
        <is>
          <t>OT Hours 25%</t>
        </is>
      </c>
      <c r="G1" s="1" t="inlineStr">
        <is>
          <t>OT Hours 50%</t>
        </is>
      </c>
      <c r="H1" s="1" t="inlineStr">
        <is>
          <t>Total OT Hours</t>
        </is>
      </c>
      <c r="I1" s="1" t="inlineStr">
        <is>
          <t>Gross Pay (Local)</t>
        </is>
      </c>
      <c r="J1" s="1" t="inlineStr">
        <is>
          <t>Employer Charges (Local)</t>
        </is>
      </c>
      <c r="K1" s="1" t="inlineStr">
        <is>
          <t>Total Employer Cost (Local)</t>
        </is>
      </c>
      <c r="L1" s="1" t="inlineStr">
        <is>
          <t>Currency</t>
        </is>
      </c>
      <c r="M1" s="1" t="inlineStr">
        <is>
          <t>Exchange Rate to USD</t>
        </is>
      </c>
      <c r="N1" s="1" t="inlineStr">
        <is>
          <t>Total Cost (USD)</t>
        </is>
      </c>
      <c r="O1" s="1" t="inlineStr">
        <is>
          <t>Production_Only (Yes/No)</t>
        </is>
      </c>
      <c r="P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2026-01</t>
        </is>
      </c>
      <c r="B14" s="2" t="inlineStr">
        <is>
          <t>Steven Bryan</t>
        </is>
      </c>
      <c r="C14" s="2" t="inlineStr">
        <is>
          <t>Dutch - Sint Maarten</t>
        </is>
      </c>
      <c r="D14" s="2" t="inlineStr">
        <is>
          <t>Staff</t>
        </is>
      </c>
      <c r="E14" s="2" t="n">
        <v>82.05</v>
      </c>
      <c r="F14" s="2" t="n">
        <v>0</v>
      </c>
      <c r="G14" s="2" t="n">
        <v>4.75</v>
      </c>
      <c r="H14" s="2">
        <f>F14+G14</f>
        <v/>
      </c>
      <c r="I14" s="2" t="n">
        <v>2086.69</v>
      </c>
      <c r="J14" s="2" t="n">
        <v>621.9400000000001</v>
      </c>
      <c r="K14" s="2" t="n"/>
      <c r="L14" s="2" t="inlineStr">
        <is>
          <t>XCG</t>
        </is>
      </c>
      <c r="M14" s="2" t="n">
        <v>0.5580000000000001</v>
      </c>
      <c r="N14" s="2">
        <f>IF(K14="","",K14*M14)</f>
        <v/>
      </c>
      <c r="O14" s="2" t="inlineStr">
        <is>
          <t>Yes</t>
        </is>
      </c>
      <c r="P14" s="2" t="inlineStr">
        <is>
          <t>Saturday work mapped to OT 50%</t>
        </is>
      </c>
    </row>
    <row r="15">
      <c r="A15" s="2" t="inlineStr">
        <is>
          <t>2026-01</t>
        </is>
      </c>
      <c r="B15" s="2" t="inlineStr">
        <is>
          <t>Steve Donovan Gordon</t>
        </is>
      </c>
      <c r="C15" s="2" t="inlineStr">
        <is>
          <t>Dutch - Sint Maarten</t>
        </is>
      </c>
      <c r="D15" s="2" t="inlineStr">
        <is>
          <t>Staff</t>
        </is>
      </c>
      <c r="E15" s="2" t="n">
        <v>152</v>
      </c>
      <c r="F15" s="2" t="n">
        <v>0</v>
      </c>
      <c r="G15" s="2" t="n">
        <v>11.42</v>
      </c>
      <c r="H15" s="2">
        <f>F15+G15</f>
        <v/>
      </c>
      <c r="I15" s="2" t="n">
        <v>5500.94</v>
      </c>
      <c r="J15" s="2" t="n">
        <v>988.34</v>
      </c>
      <c r="K15" s="2" t="n"/>
      <c r="L15" s="2" t="inlineStr">
        <is>
          <t>XCG</t>
        </is>
      </c>
      <c r="M15" s="2" t="n">
        <v>0.5580000000000001</v>
      </c>
      <c r="N15" s="2">
        <f>IF(K15="","",K15*M15)</f>
        <v/>
      </c>
      <c r="O15" s="2" t="inlineStr">
        <is>
          <t>Yes</t>
        </is>
      </c>
      <c r="P15" s="2" t="inlineStr">
        <is>
          <t>OT 150% + Vacation + Gas + Advance</t>
        </is>
      </c>
    </row>
    <row r="16">
      <c r="A16" s="2" t="inlineStr">
        <is>
          <t>2026-01</t>
        </is>
      </c>
      <c r="B16" s="2" t="inlineStr">
        <is>
          <t>Calvin Groeneveldt</t>
        </is>
      </c>
      <c r="C16" s="2" t="inlineStr">
        <is>
          <t>Dutch - Sint Maarten</t>
        </is>
      </c>
      <c r="D16" s="2" t="inlineStr">
        <is>
          <t>Staff</t>
        </is>
      </c>
      <c r="E16" s="2" t="n">
        <v>153.57</v>
      </c>
      <c r="F16" s="2" t="n">
        <v>0</v>
      </c>
      <c r="G16" s="2" t="n">
        <v>7.93</v>
      </c>
      <c r="H16" s="2">
        <f>F16+G16</f>
        <v/>
      </c>
      <c r="I16" s="2" t="n">
        <v>4604</v>
      </c>
      <c r="J16" s="2" t="n">
        <v>840.95</v>
      </c>
      <c r="K16" s="2" t="n"/>
      <c r="L16" s="2" t="inlineStr">
        <is>
          <t>XCG</t>
        </is>
      </c>
      <c r="M16" s="2" t="n">
        <v>0.5580000000000001</v>
      </c>
      <c r="N16" s="2">
        <f>IF(K16="","",K16*M16)</f>
        <v/>
      </c>
      <c r="O16" s="2" t="inlineStr">
        <is>
          <t>Yes</t>
        </is>
      </c>
      <c r="P16" s="2" t="inlineStr">
        <is>
          <t>OT 150% + Vacation + Holiday payout</t>
        </is>
      </c>
    </row>
    <row r="17">
      <c r="A17" s="2" t="inlineStr">
        <is>
          <t>2026-01</t>
        </is>
      </c>
      <c r="B17" s="2" t="inlineStr">
        <is>
          <t>Paul Anthony Harrison</t>
        </is>
      </c>
      <c r="C17" s="2" t="inlineStr">
        <is>
          <t>Dutch - Sint Maarten</t>
        </is>
      </c>
      <c r="D17" s="2" t="inlineStr">
        <is>
          <t>Staff</t>
        </is>
      </c>
      <c r="E17" s="2" t="n">
        <v>160.88</v>
      </c>
      <c r="F17" s="2" t="n">
        <v>0</v>
      </c>
      <c r="G17" s="2" t="n">
        <v>7.02</v>
      </c>
      <c r="H17" s="2">
        <f>F17+G17</f>
        <v/>
      </c>
      <c r="I17" s="2" t="n">
        <v>5397.4</v>
      </c>
      <c r="J17" s="2" t="n">
        <v>590.88</v>
      </c>
      <c r="K17" s="2" t="n"/>
      <c r="L17" s="2" t="inlineStr">
        <is>
          <t>XCG</t>
        </is>
      </c>
      <c r="M17" s="2" t="n">
        <v>0.5580000000000001</v>
      </c>
      <c r="N17" s="2">
        <f>IF(K17="","",K17*M17)</f>
        <v/>
      </c>
      <c r="O17" s="2" t="inlineStr">
        <is>
          <t>Yes</t>
        </is>
      </c>
      <c r="P17" s="2" t="inlineStr">
        <is>
          <t>OT 150% + Seniority support</t>
        </is>
      </c>
    </row>
    <row r="18">
      <c r="A18" s="2" t="inlineStr">
        <is>
          <t>2026-01</t>
        </is>
      </c>
      <c r="B18" s="2" t="inlineStr">
        <is>
          <t>Morris Fernando Ovando</t>
        </is>
      </c>
      <c r="C18" s="2" t="inlineStr">
        <is>
          <t>French - Saint Martin</t>
        </is>
      </c>
      <c r="D18" s="2" t="inlineStr">
        <is>
          <t>Production</t>
        </is>
      </c>
      <c r="E18" s="2" t="n">
        <v>0</v>
      </c>
      <c r="F18" s="2" t="n">
        <v>0</v>
      </c>
      <c r="G18" s="2" t="n">
        <v>0</v>
      </c>
      <c r="H18" s="2">
        <f>F18+G18</f>
        <v/>
      </c>
      <c r="I18" s="2" t="n">
        <v>2095.35</v>
      </c>
      <c r="J18" s="2" t="n">
        <v>729.5</v>
      </c>
      <c r="K18" s="2" t="n"/>
      <c r="L18" s="2" t="inlineStr">
        <is>
          <t>EUR</t>
        </is>
      </c>
      <c r="M18" s="2" t="n">
        <v>1.085</v>
      </c>
      <c r="N18" s="2">
        <f>IF(K18="","",K18*M18)</f>
        <v/>
      </c>
      <c r="O18" s="2" t="inlineStr">
        <is>
          <t>Yes</t>
        </is>
      </c>
      <c r="P18" s="2" t="inlineStr">
        <is>
          <t>Indemnité précarité - End of contract</t>
        </is>
      </c>
    </row>
    <row r="19">
      <c r="A19" s="2" t="inlineStr">
        <is>
          <t>2026-01</t>
        </is>
      </c>
      <c r="B19" s="2" t="inlineStr">
        <is>
          <t>Delaney Francis Theodore</t>
        </is>
      </c>
      <c r="C19" s="2" t="inlineStr">
        <is>
          <t>French - Saint Martin</t>
        </is>
      </c>
      <c r="D19" s="2" t="inlineStr">
        <is>
          <t>Production</t>
        </is>
      </c>
      <c r="E19" s="2" t="n">
        <v>151.67</v>
      </c>
      <c r="F19" s="2" t="n">
        <v>23.53</v>
      </c>
      <c r="G19" s="2" t="n">
        <v>15</v>
      </c>
      <c r="H19" s="2">
        <f>F19+G19</f>
        <v/>
      </c>
      <c r="I19" s="2" t="n">
        <v>3053.74</v>
      </c>
      <c r="J19" s="2" t="n">
        <v>800</v>
      </c>
      <c r="K19" s="2" t="n"/>
      <c r="L19" s="2" t="inlineStr">
        <is>
          <t>EUR</t>
        </is>
      </c>
      <c r="M19" s="2" t="n">
        <v>1.085</v>
      </c>
      <c r="N19" s="2">
        <f>IF(K19="","",K19*M19)</f>
        <v/>
      </c>
      <c r="O19" s="2" t="inlineStr">
        <is>
          <t>Yes</t>
        </is>
      </c>
      <c r="P19" s="2" t="inlineStr">
        <is>
          <t>HS 25% + 50%</t>
        </is>
      </c>
    </row>
    <row r="20">
      <c r="A20" s="2" t="inlineStr">
        <is>
          <t>2026-01</t>
        </is>
      </c>
      <c r="B20" s="2" t="inlineStr">
        <is>
          <t>Cesar Kenny</t>
        </is>
      </c>
      <c r="C20" s="2" t="inlineStr">
        <is>
          <t>French - Saint Martin</t>
        </is>
      </c>
      <c r="D20" s="2" t="inlineStr">
        <is>
          <t>Production</t>
        </is>
      </c>
      <c r="E20" s="2" t="n">
        <v>151.67</v>
      </c>
      <c r="F20" s="2" t="n">
        <v>22.75</v>
      </c>
      <c r="G20" s="2" t="n">
        <v>10.25</v>
      </c>
      <c r="H20" s="2">
        <f>F20+G20</f>
        <v/>
      </c>
      <c r="I20" s="2" t="n">
        <v>2736.76</v>
      </c>
      <c r="J20" s="2" t="n">
        <v>761.86</v>
      </c>
      <c r="K20" s="2" t="n"/>
      <c r="L20" s="2" t="inlineStr">
        <is>
          <t>EUR</t>
        </is>
      </c>
      <c r="M20" s="2" t="n">
        <v>1.085</v>
      </c>
      <c r="N20" s="2">
        <f>IF(K20="","",K20*M20)</f>
        <v/>
      </c>
      <c r="O20" s="2" t="inlineStr">
        <is>
          <t>Yes</t>
        </is>
      </c>
      <c r="P20" s="2" t="inlineStr">
        <is>
          <t>HS 25% + 50%</t>
        </is>
      </c>
    </row>
    <row r="21">
      <c r="A21" s="2" t="inlineStr">
        <is>
          <t>2026-01</t>
        </is>
      </c>
      <c r="B21" s="2" t="inlineStr">
        <is>
          <t>Pochette Elie</t>
        </is>
      </c>
      <c r="C21" s="2" t="inlineStr">
        <is>
          <t>French - Saint Martin</t>
        </is>
      </c>
      <c r="D21" s="2" t="inlineStr">
        <is>
          <t>Production</t>
        </is>
      </c>
      <c r="E21" s="2" t="n">
        <v>151.67</v>
      </c>
      <c r="F21" s="2" t="n">
        <v>13.7</v>
      </c>
      <c r="G21" s="2" t="n">
        <v>0</v>
      </c>
      <c r="H21" s="2">
        <f>F21+G21</f>
        <v/>
      </c>
      <c r="I21" s="2" t="n">
        <v>2028.91</v>
      </c>
      <c r="J21" s="2" t="n">
        <v>540.27</v>
      </c>
      <c r="K21" s="2" t="n"/>
      <c r="L21" s="2" t="inlineStr">
        <is>
          <t>EUR</t>
        </is>
      </c>
      <c r="M21" s="2" t="n">
        <v>1.085</v>
      </c>
      <c r="N21" s="2">
        <f>IF(K21="","",K21*M21)</f>
        <v/>
      </c>
      <c r="O21" s="2" t="inlineStr">
        <is>
          <t>Yes</t>
        </is>
      </c>
      <c r="P21" s="2" t="inlineStr">
        <is>
          <t>HS 25%</t>
        </is>
      </c>
    </row>
    <row r="22">
      <c r="A22" s="2" t="inlineStr">
        <is>
          <t>2026-01</t>
        </is>
      </c>
      <c r="B22" s="2" t="inlineStr">
        <is>
          <t>Richemon Jeytro</t>
        </is>
      </c>
      <c r="C22" s="2" t="inlineStr">
        <is>
          <t>French - Saint Martin</t>
        </is>
      </c>
      <c r="D22" s="2" t="inlineStr">
        <is>
          <t>Production</t>
        </is>
      </c>
      <c r="E22" s="2" t="n">
        <v>104.06</v>
      </c>
      <c r="F22" s="2" t="n">
        <v>0</v>
      </c>
      <c r="G22" s="2" t="n">
        <v>0</v>
      </c>
      <c r="H22" s="2">
        <f>F22+G22</f>
        <v/>
      </c>
      <c r="I22" s="2" t="n">
        <v>1250.8</v>
      </c>
      <c r="J22" s="2" t="n">
        <v>348.21</v>
      </c>
      <c r="K22" s="2" t="n"/>
      <c r="L22" s="2" t="inlineStr">
        <is>
          <t>EUR</t>
        </is>
      </c>
      <c r="M22" s="2" t="n">
        <v>1.085</v>
      </c>
      <c r="N22" s="2">
        <f>IF(K22="","",K22*M22)</f>
        <v/>
      </c>
      <c r="O22" s="2" t="inlineStr">
        <is>
          <t>Yes</t>
        </is>
      </c>
      <c r="P22" s="2" t="inlineStr">
        <is>
          <t>High absences</t>
        </is>
      </c>
    </row>
    <row r="23">
      <c r="A23" s="2" t="inlineStr">
        <is>
          <t>2026-01</t>
        </is>
      </c>
      <c r="B23" s="2" t="inlineStr">
        <is>
          <t>Gumbs Chrisphin</t>
        </is>
      </c>
      <c r="C23" s="2" t="inlineStr">
        <is>
          <t>French - Saint Martin</t>
        </is>
      </c>
      <c r="D23" s="2" t="inlineStr">
        <is>
          <t>Production</t>
        </is>
      </c>
      <c r="E23" s="2" t="n">
        <v>60</v>
      </c>
      <c r="F23" s="2" t="n">
        <v>0</v>
      </c>
      <c r="G23" s="2" t="n">
        <v>0</v>
      </c>
      <c r="H23" s="2">
        <f>F23+G23</f>
        <v/>
      </c>
      <c r="I23" s="2" t="n">
        <v>1521.23</v>
      </c>
      <c r="J23" s="2" t="n">
        <v>586.26</v>
      </c>
      <c r="K23" s="2" t="n"/>
      <c r="L23" s="2" t="inlineStr">
        <is>
          <t>EUR</t>
        </is>
      </c>
      <c r="M23" s="2" t="n">
        <v>1.085</v>
      </c>
      <c r="N23" s="2">
        <f>IF(K23="","",K23*M23)</f>
        <v/>
      </c>
      <c r="O23" s="2" t="inlineStr">
        <is>
          <t>Yes</t>
        </is>
      </c>
      <c r="P23" s="2" t="inlineStr">
        <is>
          <t>Indemnité précarité + Prime de partage</t>
        </is>
      </c>
    </row>
    <row r="24">
      <c r="A24" s="2" t="inlineStr">
        <is>
          <t>2026-01</t>
        </is>
      </c>
      <c r="B24" s="2" t="inlineStr">
        <is>
          <t>Sobalvarro Garcia Profirio Alberto</t>
        </is>
      </c>
      <c r="C24" s="2" t="inlineStr">
        <is>
          <t>French - Saint Martin</t>
        </is>
      </c>
      <c r="D24" s="2" t="inlineStr">
        <is>
          <t>Production</t>
        </is>
      </c>
      <c r="E24" s="2" t="n">
        <v>151.67</v>
      </c>
      <c r="F24" s="2" t="n">
        <v>0</v>
      </c>
      <c r="G24" s="2" t="n">
        <v>0</v>
      </c>
      <c r="H24" s="2">
        <f>F24+G24</f>
        <v/>
      </c>
      <c r="I24" s="2" t="n">
        <v>2275.05</v>
      </c>
      <c r="J24" s="2" t="n">
        <v>605.8</v>
      </c>
      <c r="K24" s="2" t="n"/>
      <c r="L24" s="2" t="inlineStr">
        <is>
          <t>EUR</t>
        </is>
      </c>
      <c r="M24" s="2" t="n">
        <v>1.085</v>
      </c>
      <c r="N24" s="2">
        <f>IF(K24="","",K24*M24)</f>
        <v/>
      </c>
      <c r="O24" s="2" t="inlineStr">
        <is>
          <t>Yes</t>
        </is>
      </c>
      <c r="P24" s="2" t="inlineStr"/>
    </row>
    <row r="25">
      <c r="A25" s="2" t="inlineStr">
        <is>
          <t>2026-01</t>
        </is>
      </c>
      <c r="B25" s="2" t="inlineStr">
        <is>
          <t>Gombs Ruben Alexandre</t>
        </is>
      </c>
      <c r="C25" s="2" t="inlineStr">
        <is>
          <t>French - Saint Martin</t>
        </is>
      </c>
      <c r="D25" s="2" t="inlineStr">
        <is>
          <t>Production</t>
        </is>
      </c>
      <c r="E25" s="2" t="n">
        <v>141.24</v>
      </c>
      <c r="F25" s="2" t="n">
        <v>0</v>
      </c>
      <c r="G25" s="2" t="n">
        <v>0</v>
      </c>
      <c r="H25" s="2">
        <f>F25+G25</f>
        <v/>
      </c>
      <c r="I25" s="2" t="n">
        <v>1676.43</v>
      </c>
      <c r="J25" s="2" t="n">
        <v>466.71</v>
      </c>
      <c r="K25" s="2" t="n"/>
      <c r="L25" s="2" t="inlineStr">
        <is>
          <t>EUR</t>
        </is>
      </c>
      <c r="M25" s="2" t="n">
        <v>1.085</v>
      </c>
      <c r="N25" s="2">
        <f>IF(K25="","",K25*M25)</f>
        <v/>
      </c>
      <c r="O25" s="2" t="inlineStr">
        <is>
          <t>Yes</t>
        </is>
      </c>
      <c r="P25" s="2" t="inlineStr">
        <is>
          <t>High absences</t>
        </is>
      </c>
    </row>
    <row r="26">
      <c r="A26" s="2" t="inlineStr">
        <is>
          <t>2026-02</t>
        </is>
      </c>
      <c r="B26" s="2" t="inlineStr">
        <is>
          <t>Rick de Waard</t>
        </is>
      </c>
      <c r="C26" s="2" t="inlineStr">
        <is>
          <t>Dutch - Sint Maarten</t>
        </is>
      </c>
      <c r="D26" s="2" t="inlineStr">
        <is>
          <t>Management</t>
        </is>
      </c>
      <c r="E26" s="2" t="n">
        <v>0</v>
      </c>
      <c r="F26" s="2" t="n">
        <v>0</v>
      </c>
      <c r="G26" s="2" t="n">
        <v>0</v>
      </c>
      <c r="H26" s="2">
        <f>F26+G26</f>
        <v/>
      </c>
      <c r="I26" s="2" t="n">
        <v>14779.03</v>
      </c>
      <c r="J26" s="2" t="n">
        <v>1118.99</v>
      </c>
      <c r="K26" s="2" t="n"/>
      <c r="L26" s="2" t="inlineStr">
        <is>
          <t>XCG</t>
        </is>
      </c>
      <c r="M26" s="2" t="n">
        <v>0.5580000000000001</v>
      </c>
      <c r="N26" s="2">
        <f>IF(K26="","",K26*M26)</f>
        <v/>
      </c>
      <c r="O26" s="3" t="inlineStr">
        <is>
          <t>No</t>
        </is>
      </c>
      <c r="P26" s="2" t="inlineStr">
        <is>
          <t>Management + Travel Reimbursement + High salary</t>
        </is>
      </c>
    </row>
    <row r="27">
      <c r="A27" s="2" t="inlineStr">
        <is>
          <t>2026-02</t>
        </is>
      </c>
      <c r="B27" s="2" t="inlineStr">
        <is>
          <t>Steve Donovan Gordon</t>
        </is>
      </c>
      <c r="C27" s="2" t="inlineStr">
        <is>
          <t>Dutch - Sint Maarten</t>
        </is>
      </c>
      <c r="D27" s="2" t="inlineStr">
        <is>
          <t>Staff</t>
        </is>
      </c>
      <c r="E27" s="2" t="n">
        <v>152</v>
      </c>
      <c r="F27" s="2" t="n">
        <v>0</v>
      </c>
      <c r="G27" s="2" t="n">
        <v>0</v>
      </c>
      <c r="H27" s="2">
        <f>F27+G27</f>
        <v/>
      </c>
      <c r="I27" s="2" t="n">
        <v>4545.8</v>
      </c>
      <c r="J27" s="2" t="n">
        <v>911.9299999999999</v>
      </c>
      <c r="K27" s="2" t="n"/>
      <c r="L27" s="2" t="inlineStr">
        <is>
          <t>XCG</t>
        </is>
      </c>
      <c r="M27" s="2" t="n">
        <v>0.5580000000000001</v>
      </c>
      <c r="N27" s="2">
        <f>IF(K27="","",K27*M27)</f>
        <v/>
      </c>
      <c r="O27" s="2" t="inlineStr">
        <is>
          <t>Yes</t>
        </is>
      </c>
      <c r="P27" s="2" t="inlineStr">
        <is>
          <t>Gas allowance + Advance 1800 XCG</t>
        </is>
      </c>
    </row>
    <row r="28">
      <c r="A28" s="2" t="inlineStr">
        <is>
          <t>2026-02</t>
        </is>
      </c>
      <c r="B28" s="2" t="inlineStr">
        <is>
          <t>Calvin Groeneveldt</t>
        </is>
      </c>
      <c r="C28" s="2" t="inlineStr">
        <is>
          <t>Dutch - Sint Maarten</t>
        </is>
      </c>
      <c r="D28" s="2" t="inlineStr">
        <is>
          <t>Staff</t>
        </is>
      </c>
      <c r="E28" s="2" t="n">
        <v>157.47</v>
      </c>
      <c r="F28" s="2" t="n">
        <v>0</v>
      </c>
      <c r="G28" s="2" t="n">
        <v>7.27</v>
      </c>
      <c r="H28" s="2">
        <f>F28+G28</f>
        <v/>
      </c>
      <c r="I28" s="2" t="n">
        <v>4091.51</v>
      </c>
      <c r="J28" s="2" t="n">
        <v>799.95</v>
      </c>
      <c r="K28" s="2" t="n"/>
      <c r="L28" s="2" t="inlineStr">
        <is>
          <t>XCG</t>
        </is>
      </c>
      <c r="M28" s="2" t="n">
        <v>0.5580000000000001</v>
      </c>
      <c r="N28" s="2">
        <f>IF(K28="","",K28*M28)</f>
        <v/>
      </c>
      <c r="O28" s="2" t="inlineStr">
        <is>
          <t>Yes</t>
        </is>
      </c>
      <c r="P28" s="2" t="inlineStr">
        <is>
          <t>OT 150% + Advance 1800 XCG</t>
        </is>
      </c>
    </row>
    <row r="29">
      <c r="A29" s="2" t="inlineStr">
        <is>
          <t>2026-02</t>
        </is>
      </c>
      <c r="B29" s="2" t="inlineStr">
        <is>
          <t>Paul Anthony Harrison</t>
        </is>
      </c>
      <c r="C29" s="2" t="inlineStr">
        <is>
          <t>Dutch - Sint Maarten</t>
        </is>
      </c>
      <c r="D29" s="2" t="inlineStr">
        <is>
          <t>Staff</t>
        </is>
      </c>
      <c r="E29" s="2" t="n">
        <v>158.52</v>
      </c>
      <c r="F29" s="2" t="n">
        <v>0</v>
      </c>
      <c r="G29" s="2" t="n">
        <v>4.33</v>
      </c>
      <c r="H29" s="2">
        <f>F29+G29</f>
        <v/>
      </c>
      <c r="I29" s="2" t="n">
        <v>4752.440000000001</v>
      </c>
      <c r="J29" s="2" t="n">
        <v>587.6499999999999</v>
      </c>
      <c r="K29" s="2" t="n"/>
      <c r="L29" s="2" t="inlineStr">
        <is>
          <t>XCG</t>
        </is>
      </c>
      <c r="M29" s="2" t="n">
        <v>0.5580000000000001</v>
      </c>
      <c r="N29" s="2">
        <f>IF(K29="","",K29*M29)</f>
        <v/>
      </c>
      <c r="O29" s="2" t="inlineStr">
        <is>
          <t>Yes</t>
        </is>
      </c>
      <c r="P29" s="2" t="inlineStr">
        <is>
          <t>OT 150% + Advance 1800 XCG</t>
        </is>
      </c>
    </row>
    <row r="30">
      <c r="A30" s="2" t="inlineStr">
        <is>
          <t>2026-02</t>
        </is>
      </c>
      <c r="B30" s="2" t="inlineStr">
        <is>
          <t>Niels Spierings</t>
        </is>
      </c>
      <c r="C30" s="2" t="inlineStr">
        <is>
          <t>Dutch - Sint Maarten</t>
        </is>
      </c>
      <c r="D30" s="2" t="inlineStr">
        <is>
          <t>Management</t>
        </is>
      </c>
      <c r="E30" s="2" t="n">
        <v>0</v>
      </c>
      <c r="F30" s="2" t="n">
        <v>0</v>
      </c>
      <c r="G30" s="2" t="n">
        <v>0</v>
      </c>
      <c r="H30" s="2">
        <f>F30+G30</f>
        <v/>
      </c>
      <c r="I30" s="2" t="n">
        <v>9000</v>
      </c>
      <c r="J30" s="2" t="n">
        <v>1733.67</v>
      </c>
      <c r="K30" s="2" t="n"/>
      <c r="L30" s="2" t="inlineStr">
        <is>
          <t>XCG</t>
        </is>
      </c>
      <c r="M30" s="2" t="n">
        <v>0.5580000000000001</v>
      </c>
      <c r="N30" s="2">
        <f>IF(K30="","",K30*M30)</f>
        <v/>
      </c>
      <c r="O30" s="3" t="inlineStr">
        <is>
          <t>No</t>
        </is>
      </c>
      <c r="P30" s="2" t="inlineStr">
        <is>
          <t>Management + Advance 1080 XCG</t>
        </is>
      </c>
    </row>
    <row r="31">
      <c r="A31" s="2" t="inlineStr">
        <is>
          <t>2026-02</t>
        </is>
      </c>
      <c r="B31" s="2" t="inlineStr">
        <is>
          <t>Delaney Francis Theodore</t>
        </is>
      </c>
      <c r="C31" s="2" t="inlineStr">
        <is>
          <t>French - Saint Martin</t>
        </is>
      </c>
      <c r="D31" s="2" t="inlineStr">
        <is>
          <t>Production</t>
        </is>
      </c>
      <c r="E31" s="2" t="n">
        <v>144.41</v>
      </c>
      <c r="F31" s="2" t="n">
        <v>14.9</v>
      </c>
      <c r="G31" s="2" t="n">
        <v>0</v>
      </c>
      <c r="H31" s="2">
        <f>F31+G31</f>
        <v/>
      </c>
      <c r="I31" s="2" t="n">
        <v>2222.03</v>
      </c>
      <c r="J31" s="2" t="n">
        <v>608.61</v>
      </c>
      <c r="K31" s="2" t="n"/>
      <c r="L31" s="2" t="inlineStr">
        <is>
          <t>EUR</t>
        </is>
      </c>
      <c r="M31" s="2" t="n">
        <v>1.085</v>
      </c>
      <c r="N31" s="2">
        <f>IF(K31="","",K31*M31)</f>
        <v/>
      </c>
      <c r="O31" s="2" t="inlineStr">
        <is>
          <t>Yes</t>
        </is>
      </c>
      <c r="P31" s="2" t="inlineStr">
        <is>
          <t>HS 25% + Absences + Regul trop perçu</t>
        </is>
      </c>
    </row>
    <row r="32">
      <c r="A32" s="2" t="inlineStr">
        <is>
          <t>2026-02</t>
        </is>
      </c>
      <c r="B32" s="2" t="inlineStr">
        <is>
          <t>Cesar Kenny</t>
        </is>
      </c>
      <c r="C32" s="2" t="inlineStr">
        <is>
          <t>French - Saint Martin</t>
        </is>
      </c>
      <c r="D32" s="2" t="inlineStr">
        <is>
          <t>Production</t>
        </is>
      </c>
      <c r="E32" s="2" t="n">
        <v>163.44</v>
      </c>
      <c r="F32" s="2" t="n">
        <v>21.15</v>
      </c>
      <c r="G32" s="2" t="n">
        <v>5.2</v>
      </c>
      <c r="H32" s="2">
        <f>F32+G32</f>
        <v/>
      </c>
      <c r="I32" s="2" t="n">
        <v>2398.59</v>
      </c>
      <c r="J32" s="2" t="n">
        <v>699.9299999999999</v>
      </c>
      <c r="K32" s="2" t="n"/>
      <c r="L32" s="2" t="inlineStr">
        <is>
          <t>EUR</t>
        </is>
      </c>
      <c r="M32" s="2" t="n">
        <v>1.085</v>
      </c>
      <c r="N32" s="2">
        <f>IF(K32="","",K32*M32)</f>
        <v/>
      </c>
      <c r="O32" s="2" t="inlineStr">
        <is>
          <t>Yes</t>
        </is>
      </c>
      <c r="P32" s="2" t="inlineStr">
        <is>
          <t>HS 25% + 50% + Absences</t>
        </is>
      </c>
    </row>
    <row r="33">
      <c r="A33" s="2" t="inlineStr">
        <is>
          <t>2026-02</t>
        </is>
      </c>
      <c r="B33" s="2" t="inlineStr">
        <is>
          <t>Pochette Elie</t>
        </is>
      </c>
      <c r="C33" s="2" t="inlineStr">
        <is>
          <t>French - Saint Martin</t>
        </is>
      </c>
      <c r="D33" s="2" t="inlineStr">
        <is>
          <t>Production</t>
        </is>
      </c>
      <c r="E33" s="2" t="n">
        <v>146.75</v>
      </c>
      <c r="F33" s="2" t="n">
        <v>17.25</v>
      </c>
      <c r="G33" s="2" t="n">
        <v>0</v>
      </c>
      <c r="H33" s="2">
        <f>F33+G33</f>
        <v/>
      </c>
      <c r="I33" s="2" t="n">
        <v>1815.77</v>
      </c>
      <c r="J33" s="2" t="n">
        <v>482.93</v>
      </c>
      <c r="K33" s="2" t="n"/>
      <c r="L33" s="2" t="inlineStr">
        <is>
          <t>EUR</t>
        </is>
      </c>
      <c r="M33" s="2" t="n">
        <v>1.085</v>
      </c>
      <c r="N33" s="2">
        <f>IF(K33="","",K33*M33)</f>
        <v/>
      </c>
      <c r="O33" s="2" t="inlineStr">
        <is>
          <t>Yes</t>
        </is>
      </c>
      <c r="P33" s="2" t="inlineStr">
        <is>
          <t>HS 25% + Absences + Regul</t>
        </is>
      </c>
    </row>
    <row r="34">
      <c r="A34" s="2" t="inlineStr">
        <is>
          <t>2026-02</t>
        </is>
      </c>
      <c r="B34" s="2" t="inlineStr">
        <is>
          <t>Gumbs Ruben Alexandre</t>
        </is>
      </c>
      <c r="C34" s="2" t="inlineStr">
        <is>
          <t>French - Saint Martin</t>
        </is>
      </c>
      <c r="D34" s="2" t="inlineStr">
        <is>
          <t>Production</t>
        </is>
      </c>
      <c r="E34" s="2" t="n">
        <v>137.09</v>
      </c>
      <c r="F34" s="2" t="n">
        <v>0</v>
      </c>
      <c r="G34" s="2" t="n">
        <v>0</v>
      </c>
      <c r="H34" s="2">
        <f>F34+G34</f>
        <v/>
      </c>
      <c r="I34" s="2" t="n">
        <v>1647.82</v>
      </c>
      <c r="J34" s="2" t="n">
        <v>485.29</v>
      </c>
      <c r="K34" s="2" t="n"/>
      <c r="L34" s="2" t="inlineStr">
        <is>
          <t>EUR</t>
        </is>
      </c>
      <c r="M34" s="2" t="n">
        <v>1.085</v>
      </c>
      <c r="N34" s="2">
        <f>IF(K34="","",K34*M34)</f>
        <v/>
      </c>
      <c r="O34" s="2" t="inlineStr">
        <is>
          <t>Yes</t>
        </is>
      </c>
      <c r="P34" s="2" t="inlineStr">
        <is>
          <t>Absences + Regul trop perçu</t>
        </is>
      </c>
    </row>
    <row r="35">
      <c r="A35" s="2" t="inlineStr">
        <is>
          <t>2026-02</t>
        </is>
      </c>
      <c r="B35" s="2" t="inlineStr">
        <is>
          <t>Richemon Jeytro</t>
        </is>
      </c>
      <c r="C35" s="2" t="inlineStr">
        <is>
          <t>French - Saint Martin</t>
        </is>
      </c>
      <c r="D35" s="2" t="inlineStr">
        <is>
          <t>Production</t>
        </is>
      </c>
      <c r="E35" s="2" t="n">
        <v>127.77</v>
      </c>
      <c r="F35" s="2" t="n">
        <v>5.85</v>
      </c>
      <c r="G35" s="2" t="n">
        <v>0</v>
      </c>
      <c r="H35" s="2">
        <f>F35+G35</f>
        <v/>
      </c>
      <c r="I35" s="2" t="n">
        <v>1523.57</v>
      </c>
      <c r="J35" s="2" t="n">
        <v>446.43</v>
      </c>
      <c r="K35" s="2" t="n"/>
      <c r="L35" s="2" t="inlineStr">
        <is>
          <t>EUR</t>
        </is>
      </c>
      <c r="M35" s="2" t="n">
        <v>1.085</v>
      </c>
      <c r="N35" s="2">
        <f>IF(K35="","",K35*M35)</f>
        <v/>
      </c>
      <c r="O35" s="2" t="inlineStr">
        <is>
          <t>Yes</t>
        </is>
      </c>
      <c r="P35" s="2" t="inlineStr">
        <is>
          <t>HS 25% + High absences</t>
        </is>
      </c>
    </row>
    <row r="36">
      <c r="A36" s="2" t="inlineStr">
        <is>
          <t>2026-02</t>
        </is>
      </c>
      <c r="B36" s="2" t="inlineStr">
        <is>
          <t>Sobalvarro Garcia Profirio Alberto</t>
        </is>
      </c>
      <c r="C36" s="2" t="inlineStr">
        <is>
          <t>French - Saint Martin</t>
        </is>
      </c>
      <c r="D36" s="2" t="inlineStr">
        <is>
          <t>Production</t>
        </is>
      </c>
      <c r="E36" s="2" t="n">
        <v>129.5</v>
      </c>
      <c r="F36" s="2" t="n">
        <v>0</v>
      </c>
      <c r="G36" s="2" t="n">
        <v>0</v>
      </c>
      <c r="H36" s="2">
        <f>F36+G36</f>
        <v/>
      </c>
      <c r="I36" s="2" t="n">
        <v>3108.54</v>
      </c>
      <c r="J36" s="2" t="n">
        <v>1491.03</v>
      </c>
      <c r="K36" s="2" t="n"/>
      <c r="L36" s="2" t="inlineStr">
        <is>
          <t>EUR</t>
        </is>
      </c>
      <c r="M36" s="2" t="n">
        <v>1.085</v>
      </c>
      <c r="N36" s="2">
        <f>IF(K36="","",K36*M36)</f>
        <v/>
      </c>
      <c r="O36" s="2" t="inlineStr">
        <is>
          <t>Yes</t>
        </is>
      </c>
      <c r="P36" s="2" t="inlineStr">
        <is>
          <t>Indemnité précarité + High absences</t>
        </is>
      </c>
    </row>
    <row r="37">
      <c r="A37" s="2" t="inlineStr">
        <is>
          <t>2026-02</t>
        </is>
      </c>
      <c r="B37" s="2" t="inlineStr">
        <is>
          <t>Walton Stephon Jervanie</t>
        </is>
      </c>
      <c r="C37" s="2" t="inlineStr">
        <is>
          <t>French - Saint Martin</t>
        </is>
      </c>
      <c r="D37" s="2" t="inlineStr">
        <is>
          <t>Production</t>
        </is>
      </c>
      <c r="E37" s="2" t="n">
        <v>46.45</v>
      </c>
      <c r="F37" s="2" t="n">
        <v>0</v>
      </c>
      <c r="G37" s="2" t="n">
        <v>0</v>
      </c>
      <c r="H37" s="2">
        <f>F37+G37</f>
        <v/>
      </c>
      <c r="I37" s="2" t="n">
        <v>612.51</v>
      </c>
      <c r="J37" s="2" t="n">
        <v>162.91</v>
      </c>
      <c r="K37" s="2" t="n"/>
      <c r="L37" s="2" t="inlineStr">
        <is>
          <t>EUR</t>
        </is>
      </c>
      <c r="M37" s="2" t="n">
        <v>1.085</v>
      </c>
      <c r="N37" s="2">
        <f>IF(K37="","",K37*M37)</f>
        <v/>
      </c>
      <c r="O37" s="2" t="inlineStr">
        <is>
          <t>Yes</t>
        </is>
      </c>
      <c r="P37" s="2" t="inlineStr">
        <is>
          <t>New employee - started mid month, high absences</t>
        </is>
      </c>
    </row>
    <row r="38">
      <c r="A38" s="2" t="inlineStr">
        <is>
          <t>2026-03</t>
        </is>
      </c>
      <c r="B38" s="2" t="inlineStr">
        <is>
          <t>Sjors Ooteman</t>
        </is>
      </c>
      <c r="C38" s="2" t="inlineStr">
        <is>
          <t>Dutch - Sint Maarten</t>
        </is>
      </c>
      <c r="D38" s="2" t="inlineStr">
        <is>
          <t>Management</t>
        </is>
      </c>
      <c r="E38" s="2" t="n">
        <v>0</v>
      </c>
      <c r="F38" s="2" t="n">
        <v>0</v>
      </c>
      <c r="G38" s="2" t="n">
        <v>0</v>
      </c>
      <c r="H38" s="2">
        <f>F38+G38</f>
        <v/>
      </c>
      <c r="I38" s="2" t="n">
        <v>11388.6</v>
      </c>
      <c r="J38" s="2" t="n">
        <v>2157.16</v>
      </c>
      <c r="K38" s="2" t="n"/>
      <c r="L38" s="2" t="inlineStr">
        <is>
          <t>XCG</t>
        </is>
      </c>
      <c r="M38" s="2" t="n">
        <v>0.5580000000000001</v>
      </c>
      <c r="N38" s="2">
        <f>IF(K38="","",K38*M38)</f>
        <v/>
      </c>
      <c r="O38" s="3" t="inlineStr">
        <is>
          <t>No</t>
        </is>
      </c>
      <c r="P38" s="2" t="inlineStr">
        <is>
          <t>Owner + House Rent (wage in kind)</t>
        </is>
      </c>
    </row>
    <row r="39">
      <c r="A39" s="2" t="inlineStr">
        <is>
          <t>2026-03</t>
        </is>
      </c>
      <c r="B39" s="2" t="inlineStr">
        <is>
          <t>Rick de Waard</t>
        </is>
      </c>
      <c r="C39" s="2" t="inlineStr">
        <is>
          <t>Dutch - Sint Maarten</t>
        </is>
      </c>
      <c r="D39" s="2" t="inlineStr">
        <is>
          <t>Management</t>
        </is>
      </c>
      <c r="E39" s="2" t="n">
        <v>0</v>
      </c>
      <c r="F39" s="2" t="n">
        <v>0</v>
      </c>
      <c r="G39" s="2" t="n">
        <v>0</v>
      </c>
      <c r="H39" s="2">
        <f>F39+G39</f>
        <v/>
      </c>
      <c r="I39" s="2" t="n">
        <v>14779.03</v>
      </c>
      <c r="J39" s="2" t="n">
        <v>1118.99</v>
      </c>
      <c r="K39" s="2" t="n"/>
      <c r="L39" s="2" t="inlineStr">
        <is>
          <t>XCG</t>
        </is>
      </c>
      <c r="M39" s="2" t="n">
        <v>0.5580000000000001</v>
      </c>
      <c r="N39" s="2">
        <f>IF(K39="","",K39*M39)</f>
        <v/>
      </c>
      <c r="O39" s="3" t="inlineStr">
        <is>
          <t>No</t>
        </is>
      </c>
      <c r="P39" s="2" t="inlineStr">
        <is>
          <t>Management + Travel Reimbursement</t>
        </is>
      </c>
    </row>
    <row r="40">
      <c r="A40" s="2" t="inlineStr">
        <is>
          <t>2026-03</t>
        </is>
      </c>
      <c r="B40" s="2" t="inlineStr">
        <is>
          <t>Steve Donovan Gordon</t>
        </is>
      </c>
      <c r="C40" s="2" t="inlineStr">
        <is>
          <t>Dutch - Sint Maarten</t>
        </is>
      </c>
      <c r="D40" s="2" t="inlineStr">
        <is>
          <t>Staff</t>
        </is>
      </c>
      <c r="E40" s="2" t="n">
        <v>176</v>
      </c>
      <c r="F40" s="2" t="n">
        <v>0</v>
      </c>
      <c r="G40" s="2" t="n">
        <v>0</v>
      </c>
      <c r="H40" s="2">
        <f>F40+G40</f>
        <v/>
      </c>
      <c r="I40" s="2" t="n">
        <v>5237.72</v>
      </c>
      <c r="J40" s="2" t="n">
        <v>967.28</v>
      </c>
      <c r="K40" s="2" t="n"/>
      <c r="L40" s="2" t="inlineStr">
        <is>
          <t>XCG</t>
        </is>
      </c>
      <c r="M40" s="2" t="n">
        <v>0.5580000000000001</v>
      </c>
      <c r="N40" s="2">
        <f>IF(K40="","",K40*M40)</f>
        <v/>
      </c>
      <c r="O40" s="2" t="inlineStr">
        <is>
          <t>Yes</t>
        </is>
      </c>
      <c r="P40" s="2" t="inlineStr">
        <is>
          <t>Advance 1800 XCG</t>
        </is>
      </c>
    </row>
    <row r="41">
      <c r="A41" s="2" t="inlineStr">
        <is>
          <t>2026-03</t>
        </is>
      </c>
      <c r="B41" s="2" t="inlineStr">
        <is>
          <t>Calvin Groeneveldt</t>
        </is>
      </c>
      <c r="C41" s="2" t="inlineStr">
        <is>
          <t>Dutch - Sint Maarten</t>
        </is>
      </c>
      <c r="D41" s="2" t="inlineStr">
        <is>
          <t>Staff</t>
        </is>
      </c>
      <c r="E41" s="2" t="n">
        <v>173.92</v>
      </c>
      <c r="F41" s="2" t="n">
        <v>0</v>
      </c>
      <c r="G41" s="2" t="n">
        <v>2.63</v>
      </c>
      <c r="H41" s="2">
        <f>F41+G41</f>
        <v/>
      </c>
      <c r="I41" s="2" t="n">
        <v>4322.12</v>
      </c>
      <c r="J41" s="2" t="n">
        <v>818.39</v>
      </c>
      <c r="K41" s="2" t="n"/>
      <c r="L41" s="2" t="inlineStr">
        <is>
          <t>XCG</t>
        </is>
      </c>
      <c r="M41" s="2" t="n">
        <v>0.5580000000000001</v>
      </c>
      <c r="N41" s="2">
        <f>IF(K41="","",K41*M41)</f>
        <v/>
      </c>
      <c r="O41" s="2" t="inlineStr">
        <is>
          <t>Yes</t>
        </is>
      </c>
      <c r="P41" s="2" t="inlineStr">
        <is>
          <t>OT 150% + Advance 1800 XCG</t>
        </is>
      </c>
    </row>
    <row r="42">
      <c r="A42" s="2" t="inlineStr">
        <is>
          <t>2026-03</t>
        </is>
      </c>
      <c r="B42" s="2" t="inlineStr">
        <is>
          <t>Paul Anthony Harrison</t>
        </is>
      </c>
      <c r="C42" s="2" t="inlineStr">
        <is>
          <t>Dutch - Sint Maarten</t>
        </is>
      </c>
      <c r="D42" s="2" t="inlineStr">
        <is>
          <t>Staff</t>
        </is>
      </c>
      <c r="E42" s="2" t="n">
        <v>128.18</v>
      </c>
      <c r="F42" s="2" t="n">
        <v>0</v>
      </c>
      <c r="G42" s="2" t="n">
        <v>1</v>
      </c>
      <c r="H42" s="2">
        <f>F42+G42</f>
        <v/>
      </c>
      <c r="I42" s="2" t="n">
        <v>5117.18</v>
      </c>
      <c r="J42" s="2" t="n">
        <v>589.4799999999999</v>
      </c>
      <c r="K42" s="2" t="n"/>
      <c r="L42" s="2" t="inlineStr">
        <is>
          <t>XCG</t>
        </is>
      </c>
      <c r="M42" s="2" t="n">
        <v>0.5580000000000001</v>
      </c>
      <c r="N42" s="2">
        <f>IF(K42="","",K42*M42)</f>
        <v/>
      </c>
      <c r="O42" s="2" t="inlineStr">
        <is>
          <t>Yes</t>
        </is>
      </c>
      <c r="P42" s="2" t="inlineStr">
        <is>
          <t>Vacation payout + Bereavement + Advance</t>
        </is>
      </c>
    </row>
    <row r="43">
      <c r="A43" s="2" t="inlineStr">
        <is>
          <t>2026-03</t>
        </is>
      </c>
      <c r="B43" s="2" t="inlineStr">
        <is>
          <t>Niels Spierings</t>
        </is>
      </c>
      <c r="C43" s="2" t="inlineStr">
        <is>
          <t>Dutch - Sint Maarten</t>
        </is>
      </c>
      <c r="D43" s="2" t="inlineStr">
        <is>
          <t>Management</t>
        </is>
      </c>
      <c r="E43" s="2" t="n">
        <v>0</v>
      </c>
      <c r="F43" s="2" t="n">
        <v>0</v>
      </c>
      <c r="G43" s="2" t="n">
        <v>0</v>
      </c>
      <c r="H43" s="2">
        <f>F43+G43</f>
        <v/>
      </c>
      <c r="I43" s="2" t="n">
        <v>12000</v>
      </c>
      <c r="J43" s="2" t="n">
        <v>2085.79</v>
      </c>
      <c r="K43" s="2" t="n"/>
      <c r="L43" s="2" t="inlineStr">
        <is>
          <t>XCG</t>
        </is>
      </c>
      <c r="M43" s="2" t="n">
        <v>0.5580000000000001</v>
      </c>
      <c r="N43" s="2">
        <f>IF(K43="","",K43*M43)</f>
        <v/>
      </c>
      <c r="O43" s="3" t="inlineStr">
        <is>
          <t>No</t>
        </is>
      </c>
      <c r="P43" s="2" t="inlineStr">
        <is>
          <t>Management + Advance 540 XCG</t>
        </is>
      </c>
    </row>
    <row r="44">
      <c r="A44" s="2" t="inlineStr">
        <is>
          <t>2026-03</t>
        </is>
      </c>
      <c r="B44" s="2" t="inlineStr">
        <is>
          <t>Delaney Francis Theodore</t>
        </is>
      </c>
      <c r="C44" s="2" t="inlineStr">
        <is>
          <t>French - Saint Martin</t>
        </is>
      </c>
      <c r="D44" s="2" t="inlineStr">
        <is>
          <t>Production</t>
        </is>
      </c>
      <c r="E44" s="2" t="n">
        <v>170.47</v>
      </c>
      <c r="F44" s="2" t="n">
        <v>18.8</v>
      </c>
      <c r="G44" s="2" t="n">
        <v>0</v>
      </c>
      <c r="H44" s="2">
        <f>F44+G44</f>
        <v/>
      </c>
      <c r="I44" s="2" t="n">
        <v>2627.55</v>
      </c>
      <c r="J44" s="2" t="n">
        <v>832.39</v>
      </c>
      <c r="K44" s="2" t="n"/>
      <c r="L44" s="2" t="inlineStr">
        <is>
          <t>EUR</t>
        </is>
      </c>
      <c r="M44" s="2" t="n">
        <v>1.085</v>
      </c>
      <c r="N44" s="2">
        <f>IF(K44="","",K44*M44)</f>
        <v/>
      </c>
      <c r="O44" s="2" t="inlineStr">
        <is>
          <t>Yes</t>
        </is>
      </c>
      <c r="P44" s="2" t="inlineStr">
        <is>
          <t>HS 25%</t>
        </is>
      </c>
    </row>
    <row r="45">
      <c r="A45" s="2" t="inlineStr">
        <is>
          <t>2026-03</t>
        </is>
      </c>
      <c r="B45" s="2" t="inlineStr">
        <is>
          <t>Cesar Kenny</t>
        </is>
      </c>
      <c r="C45" s="2" t="inlineStr">
        <is>
          <t>French - Saint Martin</t>
        </is>
      </c>
      <c r="D45" s="2" t="inlineStr">
        <is>
          <t>Production</t>
        </is>
      </c>
      <c r="E45" s="2" t="n">
        <v>170.57</v>
      </c>
      <c r="F45" s="2" t="n">
        <v>18.9</v>
      </c>
      <c r="G45" s="2" t="n">
        <v>0</v>
      </c>
      <c r="H45" s="2">
        <f>F45+G45</f>
        <v/>
      </c>
      <c r="I45" s="2" t="n">
        <v>2454.13</v>
      </c>
      <c r="J45" s="2" t="n">
        <v>808.11</v>
      </c>
      <c r="K45" s="2" t="n"/>
      <c r="L45" s="2" t="inlineStr">
        <is>
          <t>EUR</t>
        </is>
      </c>
      <c r="M45" s="2" t="n">
        <v>1.085</v>
      </c>
      <c r="N45" s="2">
        <f>IF(K45="","",K45*M45)</f>
        <v/>
      </c>
      <c r="O45" s="2" t="inlineStr">
        <is>
          <t>Yes</t>
        </is>
      </c>
      <c r="P45" s="2" t="inlineStr">
        <is>
          <t>HS 25%</t>
        </is>
      </c>
    </row>
    <row r="46">
      <c r="A46" s="2" t="inlineStr">
        <is>
          <t>2026-03</t>
        </is>
      </c>
      <c r="B46" s="2" t="inlineStr">
        <is>
          <t>Richemon Jeytro</t>
        </is>
      </c>
      <c r="C46" s="2" t="inlineStr">
        <is>
          <t>French - Saint Martin</t>
        </is>
      </c>
      <c r="D46" s="2" t="inlineStr">
        <is>
          <t>Production</t>
        </is>
      </c>
      <c r="E46" s="2" t="n">
        <v>126.37</v>
      </c>
      <c r="F46" s="2" t="n">
        <v>9.699999999999999</v>
      </c>
      <c r="G46" s="2" t="n">
        <v>0</v>
      </c>
      <c r="H46" s="2">
        <f>F46+G46</f>
        <v/>
      </c>
      <c r="I46" s="2" t="n">
        <v>1548.11</v>
      </c>
      <c r="J46" s="2" t="n">
        <v>509.75</v>
      </c>
      <c r="K46" s="2" t="n"/>
      <c r="L46" s="2" t="inlineStr">
        <is>
          <t>EUR</t>
        </is>
      </c>
      <c r="M46" s="2" t="n">
        <v>1.085</v>
      </c>
      <c r="N46" s="2">
        <f>IF(K46="","",K46*M46)</f>
        <v/>
      </c>
      <c r="O46" s="2" t="inlineStr">
        <is>
          <t>Yes</t>
        </is>
      </c>
      <c r="P46" s="2" t="inlineStr">
        <is>
          <t>HS 25% + High absences</t>
        </is>
      </c>
    </row>
    <row r="47">
      <c r="A47" s="2" t="inlineStr">
        <is>
          <t>2026-03</t>
        </is>
      </c>
      <c r="B47" s="2" t="inlineStr">
        <is>
          <t>Gombs Ruben Alexandre</t>
        </is>
      </c>
      <c r="C47" s="2" t="inlineStr">
        <is>
          <t>French - Saint Martin</t>
        </is>
      </c>
      <c r="D47" s="2" t="inlineStr">
        <is>
          <t>Production</t>
        </is>
      </c>
      <c r="E47" s="2" t="n">
        <v>146.02</v>
      </c>
      <c r="F47" s="2" t="n">
        <v>1.35</v>
      </c>
      <c r="G47" s="2" t="n">
        <v>0</v>
      </c>
      <c r="H47" s="2">
        <f>F47+G47</f>
        <v/>
      </c>
      <c r="I47" s="2" t="n">
        <v>1759.21</v>
      </c>
      <c r="J47" s="2" t="n">
        <v>579.26</v>
      </c>
      <c r="K47" s="2" t="n"/>
      <c r="L47" s="2" t="inlineStr">
        <is>
          <t>EUR</t>
        </is>
      </c>
      <c r="M47" s="2" t="n">
        <v>1.085</v>
      </c>
      <c r="N47" s="2">
        <f>IF(K47="","",K47*M47)</f>
        <v/>
      </c>
      <c r="O47" s="2" t="inlineStr">
        <is>
          <t>Yes</t>
        </is>
      </c>
      <c r="P47" s="2" t="inlineStr">
        <is>
          <t>HS 25% + Absences</t>
        </is>
      </c>
    </row>
    <row r="48">
      <c r="A48" s="2" t="inlineStr">
        <is>
          <t>2026-03</t>
        </is>
      </c>
      <c r="B48" s="2" t="inlineStr">
        <is>
          <t>Walton Stephon Jervanie</t>
        </is>
      </c>
      <c r="C48" s="2" t="inlineStr">
        <is>
          <t>French - Saint Martin</t>
        </is>
      </c>
      <c r="D48" s="2" t="inlineStr">
        <is>
          <t>Production</t>
        </is>
      </c>
      <c r="E48" s="2" t="n">
        <v>146.27</v>
      </c>
      <c r="F48" s="2" t="n">
        <v>1.6</v>
      </c>
      <c r="G48" s="2" t="n">
        <v>0</v>
      </c>
      <c r="H48" s="2">
        <f>F48+G48</f>
        <v/>
      </c>
      <c r="I48" s="2" t="n">
        <v>1934.06</v>
      </c>
      <c r="J48" s="2" t="n">
        <v>630.04</v>
      </c>
      <c r="K48" s="2" t="n"/>
      <c r="L48" s="2" t="inlineStr">
        <is>
          <t>EUR</t>
        </is>
      </c>
      <c r="M48" s="2" t="n">
        <v>1.085</v>
      </c>
      <c r="N48" s="2">
        <f>IF(K48="","",K48*M48)</f>
        <v/>
      </c>
      <c r="O48" s="2" t="inlineStr">
        <is>
          <t>Yes</t>
        </is>
      </c>
      <c r="P48" s="2" t="inlineStr">
        <is>
          <t>HS 25% + Absences</t>
        </is>
      </c>
    </row>
    <row r="49">
      <c r="A49" s="2" t="inlineStr">
        <is>
          <t>2026-03</t>
        </is>
      </c>
      <c r="B49" s="2" t="inlineStr">
        <is>
          <t>Pierre Ridchy</t>
        </is>
      </c>
      <c r="C49" s="2" t="inlineStr">
        <is>
          <t>French - Saint Martin</t>
        </is>
      </c>
      <c r="D49" s="2" t="inlineStr">
        <is>
          <t>Production</t>
        </is>
      </c>
      <c r="E49" s="2" t="n">
        <v>144.67</v>
      </c>
      <c r="F49" s="2" t="n">
        <v>0</v>
      </c>
      <c r="G49" s="2" t="n">
        <v>0</v>
      </c>
      <c r="H49" s="2">
        <f>F49+G49</f>
        <v/>
      </c>
      <c r="I49" s="2" t="n">
        <v>1738.93</v>
      </c>
      <c r="J49" s="2" t="n">
        <v>580.22</v>
      </c>
      <c r="K49" s="2" t="n"/>
      <c r="L49" s="2" t="inlineStr">
        <is>
          <t>EUR</t>
        </is>
      </c>
      <c r="M49" s="2" t="n">
        <v>1.085</v>
      </c>
      <c r="N49" s="2">
        <f>IF(K49="","",K49*M49)</f>
        <v/>
      </c>
      <c r="O49" s="2" t="inlineStr">
        <is>
          <t>Yes</t>
        </is>
      </c>
      <c r="P49" s="2" t="inlineStr">
        <is>
          <t>New employee - started 02/03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2026-07-02T22:59:05Z</dcterms:created>
  <dcterms:modified xmlns:dcterms="http://purl.org/dc/terms/" xmlns:xsi="http://www.w3.org/2001/XMLSchema-instance" xsi:type="dcterms:W3CDTF">2026-07-02T23:15:02Z</dcterms:modified>
</cp:coreProperties>
</file>